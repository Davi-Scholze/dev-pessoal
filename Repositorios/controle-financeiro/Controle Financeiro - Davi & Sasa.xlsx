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ocuments\Projetos Dev Pessoais\Repositorios\controle-financeiro\"/>
    </mc:Choice>
  </mc:AlternateContent>
  <xr:revisionPtr revIDLastSave="0" documentId="13_ncr:1_{0C3CBE38-2211-4C01-A23A-8234901010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nho - 0626" sheetId="3" r:id="rId1"/>
    <sheet name="Julho - 0726" sheetId="4" r:id="rId2"/>
    <sheet name="Agosto - 0826" sheetId="5" r:id="rId3"/>
    <sheet name="Setembro - 0926" sheetId="6" r:id="rId4"/>
    <sheet name="Outubro - 1026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1" i="3" l="1"/>
  <c r="F16" i="3"/>
  <c r="F15" i="3"/>
  <c r="F28" i="3"/>
  <c r="F45" i="3"/>
  <c r="F40" i="3"/>
  <c r="F30" i="3"/>
  <c r="F25" i="3"/>
  <c r="F18" i="3"/>
  <c r="C60" i="7"/>
  <c r="C62" i="7" s="1"/>
  <c r="C59" i="7"/>
  <c r="C54" i="7"/>
  <c r="C56" i="7" s="1"/>
  <c r="C57" i="7" s="1"/>
  <c r="C53" i="7"/>
  <c r="F43" i="7"/>
  <c r="F40" i="7"/>
  <c r="F39" i="7"/>
  <c r="I32" i="7"/>
  <c r="I31" i="7"/>
  <c r="I30" i="7"/>
  <c r="J29" i="7"/>
  <c r="I29" i="7"/>
  <c r="I27" i="7"/>
  <c r="I26" i="7"/>
  <c r="J25" i="7"/>
  <c r="I25" i="7"/>
  <c r="I23" i="7"/>
  <c r="I22" i="7"/>
  <c r="I21" i="7"/>
  <c r="I20" i="7"/>
  <c r="I19" i="7"/>
  <c r="J17" i="7"/>
  <c r="I15" i="7"/>
  <c r="J14" i="7"/>
  <c r="I14" i="7"/>
  <c r="I12" i="7"/>
  <c r="J11" i="7"/>
  <c r="I11" i="7"/>
  <c r="I46" i="7" s="1"/>
  <c r="M9" i="7"/>
  <c r="H1" i="7" s="1"/>
  <c r="H4" i="7" s="1"/>
  <c r="H5" i="7" s="1"/>
  <c r="H6" i="7" s="1"/>
  <c r="H7" i="7" s="1"/>
  <c r="H8" i="7" s="1"/>
  <c r="H9" i="7" s="1"/>
  <c r="H11" i="7" s="1"/>
  <c r="H12" i="7" s="1"/>
  <c r="H14" i="7" s="1"/>
  <c r="H15" i="7" s="1"/>
  <c r="H17" i="7" s="1"/>
  <c r="H19" i="7" s="1"/>
  <c r="H20" i="7" s="1"/>
  <c r="H21" i="7" s="1"/>
  <c r="H22" i="7" s="1"/>
  <c r="H23" i="7" s="1"/>
  <c r="H25" i="7" s="1"/>
  <c r="H26" i="7" s="1"/>
  <c r="H27" i="7" s="1"/>
  <c r="H29" i="7" s="1"/>
  <c r="H30" i="7" s="1"/>
  <c r="H31" i="7" s="1"/>
  <c r="H32" i="7" s="1"/>
  <c r="H34" i="7" s="1"/>
  <c r="H35" i="7" s="1"/>
  <c r="H36" i="7" s="1"/>
  <c r="H37" i="7" s="1"/>
  <c r="H38" i="7" s="1"/>
  <c r="H39" i="7" s="1"/>
  <c r="H40" i="7" s="1"/>
  <c r="H42" i="7" s="1"/>
  <c r="H43" i="7" s="1"/>
  <c r="H44" i="7" s="1"/>
  <c r="C64" i="6"/>
  <c r="C65" i="6" s="1"/>
  <c r="C63" i="6"/>
  <c r="C62" i="6"/>
  <c r="C61" i="6"/>
  <c r="C59" i="6"/>
  <c r="C58" i="6"/>
  <c r="C56" i="6"/>
  <c r="C55" i="6"/>
  <c r="F45" i="6"/>
  <c r="F42" i="6"/>
  <c r="F41" i="6"/>
  <c r="I34" i="6"/>
  <c r="I33" i="6"/>
  <c r="I32" i="6"/>
  <c r="J31" i="6"/>
  <c r="I31" i="6"/>
  <c r="I29" i="6"/>
  <c r="I28" i="6"/>
  <c r="J27" i="6"/>
  <c r="I27" i="6"/>
  <c r="I25" i="6"/>
  <c r="I24" i="6"/>
  <c r="I23" i="6"/>
  <c r="I22" i="6"/>
  <c r="I21" i="6"/>
  <c r="J19" i="6"/>
  <c r="I17" i="6"/>
  <c r="J16" i="6"/>
  <c r="I16" i="6"/>
  <c r="I14" i="6"/>
  <c r="I13" i="6"/>
  <c r="I12" i="6"/>
  <c r="J11" i="6"/>
  <c r="I11" i="6"/>
  <c r="I48" i="6" s="1"/>
  <c r="M9" i="6"/>
  <c r="H1" i="6"/>
  <c r="H4" i="6" s="1"/>
  <c r="H5" i="6" s="1"/>
  <c r="H6" i="6" s="1"/>
  <c r="H7" i="6" s="1"/>
  <c r="H8" i="6" s="1"/>
  <c r="H9" i="6" s="1"/>
  <c r="H11" i="6" s="1"/>
  <c r="H12" i="6" s="1"/>
  <c r="H13" i="6" s="1"/>
  <c r="H14" i="6" s="1"/>
  <c r="H16" i="6" s="1"/>
  <c r="H17" i="6" s="1"/>
  <c r="H19" i="6" s="1"/>
  <c r="H21" i="6" s="1"/>
  <c r="H22" i="6" s="1"/>
  <c r="H23" i="6" s="1"/>
  <c r="H24" i="6" s="1"/>
  <c r="H25" i="6" s="1"/>
  <c r="H27" i="6" s="1"/>
  <c r="H28" i="6" s="1"/>
  <c r="H29" i="6" s="1"/>
  <c r="H31" i="6" s="1"/>
  <c r="H32" i="6" s="1"/>
  <c r="H33" i="6" s="1"/>
  <c r="H34" i="6" s="1"/>
  <c r="H36" i="6" s="1"/>
  <c r="H37" i="6" s="1"/>
  <c r="H38" i="6" s="1"/>
  <c r="H39" i="6" s="1"/>
  <c r="H40" i="6" s="1"/>
  <c r="H41" i="6" s="1"/>
  <c r="H42" i="6" s="1"/>
  <c r="H44" i="6" s="1"/>
  <c r="H45" i="6" s="1"/>
  <c r="H46" i="6" s="1"/>
  <c r="C65" i="5"/>
  <c r="C67" i="5" s="1"/>
  <c r="C64" i="5"/>
  <c r="C59" i="5"/>
  <c r="C61" i="5" s="1"/>
  <c r="C62" i="5" s="1"/>
  <c r="C58" i="5"/>
  <c r="F48" i="5"/>
  <c r="F45" i="5"/>
  <c r="F44" i="5"/>
  <c r="I37" i="5"/>
  <c r="I36" i="5"/>
  <c r="I35" i="5"/>
  <c r="I34" i="5"/>
  <c r="J33" i="5"/>
  <c r="I33" i="5"/>
  <c r="I31" i="5"/>
  <c r="I30" i="5"/>
  <c r="J29" i="5"/>
  <c r="I29" i="5"/>
  <c r="I27" i="5"/>
  <c r="I26" i="5"/>
  <c r="I25" i="5"/>
  <c r="I24" i="5"/>
  <c r="I23" i="5"/>
  <c r="I22" i="5"/>
  <c r="L21" i="5"/>
  <c r="M21" i="5" s="1"/>
  <c r="M22" i="5" s="1"/>
  <c r="I21" i="5"/>
  <c r="J19" i="5"/>
  <c r="I17" i="5"/>
  <c r="J16" i="5"/>
  <c r="I16" i="5"/>
  <c r="I14" i="5"/>
  <c r="I13" i="5"/>
  <c r="I51" i="5" s="1"/>
  <c r="I12" i="5"/>
  <c r="J11" i="5"/>
  <c r="I11" i="5"/>
  <c r="M9" i="5"/>
  <c r="C71" i="4"/>
  <c r="C73" i="4" s="1"/>
  <c r="C75" i="4" s="1"/>
  <c r="C70" i="4"/>
  <c r="C69" i="4"/>
  <c r="C68" i="4"/>
  <c r="C65" i="4"/>
  <c r="C66" i="4" s="1"/>
  <c r="C63" i="4"/>
  <c r="C62" i="4"/>
  <c r="F53" i="4"/>
  <c r="F52" i="4"/>
  <c r="F49" i="4"/>
  <c r="F48" i="4"/>
  <c r="I41" i="4"/>
  <c r="I40" i="4"/>
  <c r="I39" i="4"/>
  <c r="I38" i="4"/>
  <c r="I37" i="4"/>
  <c r="I36" i="4"/>
  <c r="I35" i="4"/>
  <c r="J34" i="4"/>
  <c r="I34" i="4"/>
  <c r="I32" i="4"/>
  <c r="L22" i="4" s="1"/>
  <c r="M22" i="4" s="1"/>
  <c r="M23" i="4" s="1"/>
  <c r="I31" i="4"/>
  <c r="J30" i="4"/>
  <c r="I30" i="4"/>
  <c r="I28" i="4"/>
  <c r="I27" i="4"/>
  <c r="I26" i="4"/>
  <c r="I25" i="4"/>
  <c r="I24" i="4"/>
  <c r="I23" i="4"/>
  <c r="I22" i="4"/>
  <c r="J20" i="4"/>
  <c r="I18" i="4"/>
  <c r="J17" i="4"/>
  <c r="I17" i="4"/>
  <c r="I15" i="4"/>
  <c r="I14" i="4"/>
  <c r="I13" i="4"/>
  <c r="I12" i="4"/>
  <c r="J11" i="4"/>
  <c r="I11" i="4"/>
  <c r="M10" i="4"/>
  <c r="H1" i="4"/>
  <c r="H4" i="4" s="1"/>
  <c r="H5" i="4" s="1"/>
  <c r="H6" i="4" s="1"/>
  <c r="H7" i="4" s="1"/>
  <c r="H8" i="4" s="1"/>
  <c r="H9" i="4" s="1"/>
  <c r="H11" i="4" s="1"/>
  <c r="H12" i="4" s="1"/>
  <c r="H13" i="4" s="1"/>
  <c r="H14" i="4" s="1"/>
  <c r="H15" i="4" s="1"/>
  <c r="H17" i="4" s="1"/>
  <c r="H18" i="4" s="1"/>
  <c r="H20" i="4" s="1"/>
  <c r="H22" i="4" s="1"/>
  <c r="H23" i="4" s="1"/>
  <c r="H24" i="4" s="1"/>
  <c r="H25" i="4" s="1"/>
  <c r="H26" i="4" s="1"/>
  <c r="H27" i="4" s="1"/>
  <c r="H28" i="4" s="1"/>
  <c r="H30" i="4" s="1"/>
  <c r="H31" i="4" s="1"/>
  <c r="H32" i="4" s="1"/>
  <c r="H34" i="4" s="1"/>
  <c r="H35" i="4" s="1"/>
  <c r="H36" i="4" s="1"/>
  <c r="H37" i="4" s="1"/>
  <c r="H38" i="4" s="1"/>
  <c r="H39" i="4" s="1"/>
  <c r="H40" i="4" s="1"/>
  <c r="H41" i="4" s="1"/>
  <c r="H43" i="4" s="1"/>
  <c r="H44" i="4" s="1"/>
  <c r="H45" i="4" s="1"/>
  <c r="H46" i="4" s="1"/>
  <c r="H47" i="4" s="1"/>
  <c r="H48" i="4" s="1"/>
  <c r="H49" i="4" s="1"/>
  <c r="H51" i="4" s="1"/>
  <c r="H52" i="4" s="1"/>
  <c r="H53" i="4" s="1"/>
  <c r="C75" i="3"/>
  <c r="C74" i="3"/>
  <c r="C69" i="3"/>
  <c r="C71" i="3" s="1"/>
  <c r="C72" i="3" s="1"/>
  <c r="C68" i="3"/>
  <c r="I55" i="3"/>
  <c r="I54" i="3"/>
  <c r="I53" i="3"/>
  <c r="I52" i="3"/>
  <c r="I51" i="3"/>
  <c r="I50" i="3"/>
  <c r="I49" i="3"/>
  <c r="I48" i="3"/>
  <c r="I47" i="3"/>
  <c r="I46" i="3"/>
  <c r="I44" i="3"/>
  <c r="I43" i="3"/>
  <c r="I42" i="3"/>
  <c r="I41" i="3"/>
  <c r="I39" i="3"/>
  <c r="I38" i="3"/>
  <c r="I37" i="3"/>
  <c r="I36" i="3"/>
  <c r="I35" i="3"/>
  <c r="I34" i="3"/>
  <c r="I33" i="3"/>
  <c r="I32" i="3"/>
  <c r="I27" i="3"/>
  <c r="I26" i="3"/>
  <c r="I24" i="3"/>
  <c r="I23" i="3"/>
  <c r="I22" i="3"/>
  <c r="I21" i="3"/>
  <c r="I20" i="3"/>
  <c r="L9" i="3"/>
  <c r="H1" i="3" s="1"/>
  <c r="H4" i="3" s="1"/>
  <c r="H5" i="3" s="1"/>
  <c r="H6" i="3" s="1"/>
  <c r="H7" i="3" s="1"/>
  <c r="H8" i="3" s="1"/>
  <c r="H9" i="3" s="1"/>
  <c r="H19" i="3" s="1"/>
  <c r="H20" i="3" s="1"/>
  <c r="H21" i="3" s="1"/>
  <c r="H22" i="3" s="1"/>
  <c r="H23" i="3" s="1"/>
  <c r="H24" i="3" s="1"/>
  <c r="H26" i="3" s="1"/>
  <c r="H27" i="3" s="1"/>
  <c r="H29" i="3" s="1"/>
  <c r="H31" i="3" s="1"/>
  <c r="H32" i="3" s="1"/>
  <c r="H33" i="3" s="1"/>
  <c r="H34" i="3" s="1"/>
  <c r="H35" i="3" s="1"/>
  <c r="H36" i="3" s="1"/>
  <c r="H37" i="3" s="1"/>
  <c r="H38" i="3" s="1"/>
  <c r="H39" i="3" s="1"/>
  <c r="H41" i="3" s="1"/>
  <c r="H42" i="3" s="1"/>
  <c r="H43" i="3" s="1"/>
  <c r="H44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7" i="3" s="1"/>
  <c r="H58" i="3" s="1"/>
  <c r="H59" i="3" s="1"/>
  <c r="H10" i="3" l="1"/>
  <c r="H11" i="3" s="1"/>
  <c r="H12" i="3" s="1"/>
  <c r="H13" i="3" s="1"/>
  <c r="H14" i="3" s="1"/>
  <c r="H15" i="3" s="1"/>
  <c r="H16" i="3" s="1"/>
  <c r="I61" i="3"/>
  <c r="C63" i="3"/>
  <c r="C65" i="3" s="1"/>
  <c r="C66" i="3" s="1"/>
  <c r="H60" i="3"/>
  <c r="F55" i="4"/>
  <c r="C57" i="4" s="1"/>
  <c r="C59" i="4" s="1"/>
  <c r="C60" i="4" s="1"/>
  <c r="H54" i="4"/>
  <c r="C76" i="3"/>
  <c r="C77" i="3"/>
  <c r="C74" i="4"/>
  <c r="H1" i="5"/>
  <c r="H4" i="5" s="1"/>
  <c r="H5" i="5" s="1"/>
  <c r="H6" i="5" s="1"/>
  <c r="H7" i="5" s="1"/>
  <c r="H8" i="5" s="1"/>
  <c r="H9" i="5" s="1"/>
  <c r="H11" i="5" s="1"/>
  <c r="H12" i="5" s="1"/>
  <c r="H13" i="5" s="1"/>
  <c r="H14" i="5" s="1"/>
  <c r="H16" i="5" s="1"/>
  <c r="H17" i="5" s="1"/>
  <c r="H19" i="5" s="1"/>
  <c r="H21" i="5" s="1"/>
  <c r="H22" i="5" s="1"/>
  <c r="H23" i="5" s="1"/>
  <c r="H24" i="5" s="1"/>
  <c r="H25" i="5" s="1"/>
  <c r="H26" i="5" s="1"/>
  <c r="H27" i="5" s="1"/>
  <c r="H29" i="5" s="1"/>
  <c r="H30" i="5" s="1"/>
  <c r="H31" i="5" s="1"/>
  <c r="H33" i="5" s="1"/>
  <c r="H34" i="5" s="1"/>
  <c r="H35" i="5" s="1"/>
  <c r="H36" i="5" s="1"/>
  <c r="H37" i="5" s="1"/>
  <c r="H39" i="5" s="1"/>
  <c r="H40" i="5" s="1"/>
  <c r="H41" i="5" s="1"/>
  <c r="H42" i="5" s="1"/>
  <c r="H43" i="5" s="1"/>
  <c r="H44" i="5" s="1"/>
  <c r="H45" i="5" s="1"/>
  <c r="H47" i="5" s="1"/>
  <c r="H48" i="5" s="1"/>
  <c r="H49" i="5" s="1"/>
  <c r="I55" i="4"/>
  <c r="C69" i="5"/>
  <c r="C68" i="5"/>
  <c r="F48" i="6"/>
  <c r="C50" i="6" s="1"/>
  <c r="C52" i="6" s="1"/>
  <c r="C53" i="6" s="1"/>
  <c r="H47" i="6"/>
  <c r="F46" i="7"/>
  <c r="C48" i="7" s="1"/>
  <c r="C50" i="7" s="1"/>
  <c r="C51" i="7" s="1"/>
  <c r="H45" i="7"/>
  <c r="C64" i="7"/>
  <c r="C63" i="7"/>
  <c r="C72" i="4"/>
  <c r="C66" i="5"/>
  <c r="C66" i="6"/>
  <c r="C61" i="7"/>
  <c r="F51" i="5" l="1"/>
  <c r="C53" i="5" s="1"/>
  <c r="C55" i="5" s="1"/>
  <c r="C56" i="5" s="1"/>
  <c r="H50" i="5"/>
  <c r="C68" i="6"/>
  <c r="C67" i="6"/>
  <c r="C66" i="7"/>
  <c r="C65" i="7"/>
  <c r="C71" i="5"/>
  <c r="C70" i="5"/>
  <c r="C78" i="3"/>
  <c r="C79" i="3"/>
  <c r="C81" i="3" l="1"/>
  <c r="C80" i="3"/>
</calcChain>
</file>

<file path=xl/sharedStrings.xml><?xml version="1.0" encoding="utf-8"?>
<sst xmlns="http://schemas.openxmlformats.org/spreadsheetml/2006/main" count="1137" uniqueCount="182">
  <si>
    <t xml:space="preserve">Total </t>
  </si>
  <si>
    <t>FONTES DE RENDA</t>
  </si>
  <si>
    <t>despesas</t>
  </si>
  <si>
    <t>para</t>
  </si>
  <si>
    <t>tipo</t>
  </si>
  <si>
    <t>pag_parcelas</t>
  </si>
  <si>
    <t>vencimento</t>
  </si>
  <si>
    <t>valor_despesa</t>
  </si>
  <si>
    <t>pago?</t>
  </si>
  <si>
    <t>desconto_do_total</t>
  </si>
  <si>
    <t>subtotal_grupo</t>
  </si>
  <si>
    <t>Fontes</t>
  </si>
  <si>
    <t>Dinheiro</t>
  </si>
  <si>
    <t>Vale Refeição</t>
  </si>
  <si>
    <t>Vale Transporte</t>
  </si>
  <si>
    <t>Data Recebimento</t>
  </si>
  <si>
    <t>recebido?</t>
  </si>
  <si>
    <t>Dízimo</t>
  </si>
  <si>
    <t>Marantha</t>
  </si>
  <si>
    <t>pix</t>
  </si>
  <si>
    <t>-</t>
  </si>
  <si>
    <t>Navortech</t>
  </si>
  <si>
    <t>Aluguel</t>
  </si>
  <si>
    <t>Juveve</t>
  </si>
  <si>
    <t>boleto</t>
  </si>
  <si>
    <t>Faz de Conta</t>
  </si>
  <si>
    <t>Condomínio</t>
  </si>
  <si>
    <t>Trianon</t>
  </si>
  <si>
    <t>DeCon</t>
  </si>
  <si>
    <t>Luz</t>
  </si>
  <si>
    <t>Copel</t>
  </si>
  <si>
    <t>pix ou boleto</t>
  </si>
  <si>
    <t>Gás</t>
  </si>
  <si>
    <t>CopaGas</t>
  </si>
  <si>
    <t>Juliana Laredo</t>
  </si>
  <si>
    <t>Internet</t>
  </si>
  <si>
    <t>Vivo</t>
  </si>
  <si>
    <t>Neomissio</t>
  </si>
  <si>
    <t>── NUBANK · SABRINA ──</t>
  </si>
  <si>
    <t>crédito</t>
  </si>
  <si>
    <t>Mp *Photomacrocom -12 x R$ 286,81</t>
  </si>
  <si>
    <t>2 de 3</t>
  </si>
  <si>
    <t>Senzaparijoias - 12 x R$ 375,00</t>
  </si>
  <si>
    <t>9 de 12</t>
  </si>
  <si>
    <t>2 de 2</t>
  </si>
  <si>
    <t>Mp*Vetihome - 12 x R$ 59,02</t>
  </si>
  <si>
    <t>7 de 12</t>
  </si>
  <si>
    <t>la Patisserie Batel - 12 x R$ 40,75</t>
  </si>
  <si>
    <t>6 de 12</t>
  </si>
  <si>
    <t>Mercadolivre*Favor - 9 x R$ 51,14</t>
  </si>
  <si>
    <t>── BRADESCO · SABRINA ──</t>
  </si>
  <si>
    <t>MP PHOTOMACROCOM - 12 x R$ 33,37</t>
  </si>
  <si>
    <t>Bradesco - Sa</t>
  </si>
  <si>
    <t>2 de 12</t>
  </si>
  <si>
    <t>Dia 10</t>
  </si>
  <si>
    <t>MP PHOTOMACROCOM - 12 x R$ 26,00</t>
  </si>
  <si>
    <t>── C6 · SABRINA ──</t>
  </si>
  <si>
    <t xml:space="preserve">C6 - Sa </t>
  </si>
  <si>
    <t>── NUBANK · DAVI ──</t>
  </si>
  <si>
    <t>Uber</t>
  </si>
  <si>
    <t>Seguro Camêra - 12 x R$ 25,98</t>
  </si>
  <si>
    <t>Kalara cliniCA VETERINARIA LTD - 5 x R$ 143</t>
  </si>
  <si>
    <t>Mp *Photomacrocom -12 x R$ 133,37</t>
  </si>
  <si>
    <t>la Patisserie Batel - 12 x R$ 133,33</t>
  </si>
  <si>
    <t>Balaroti - 10 x R$ 15,52</t>
  </si>
  <si>
    <t>Bruno Doroci - 12 x R$ 57,99</t>
  </si>
  <si>
    <t>Mercadolivre - 12 x R$ 16,62</t>
  </si>
  <si>
    <t>Pg *medprev - 3x R$ 151,84</t>
  </si>
  <si>
    <t>── INTER · DAVI ──</t>
  </si>
  <si>
    <t>Senzaparijoias - 18 x R$ 81,66</t>
  </si>
  <si>
    <t>Inter - Da</t>
  </si>
  <si>
    <t>Mp *Photomacrocom - 12 x R$ 145,49</t>
  </si>
  <si>
    <t>── MERCADO PAGO ──</t>
  </si>
  <si>
    <t>Mercado Pago</t>
  </si>
  <si>
    <t>Dia 06</t>
  </si>
  <si>
    <t>── DÉBITO / PIX ──</t>
  </si>
  <si>
    <t>FACULDADE DE DESIGN DE MODA</t>
  </si>
  <si>
    <t>Senai</t>
  </si>
  <si>
    <t>MEI sasa</t>
  </si>
  <si>
    <t>App Música - familia</t>
  </si>
  <si>
    <t>Spotfy</t>
  </si>
  <si>
    <t>débito automatico</t>
  </si>
  <si>
    <t>Dia 25</t>
  </si>
  <si>
    <t xml:space="preserve">Academia Judô </t>
  </si>
  <si>
    <t>Lemanczuk</t>
  </si>
  <si>
    <t>débito ou pix</t>
  </si>
  <si>
    <t>Gatas - Alimentação e Limpenza</t>
  </si>
  <si>
    <t>PetShop</t>
  </si>
  <si>
    <t>Academia Heroes</t>
  </si>
  <si>
    <t>Pendente</t>
  </si>
  <si>
    <t>── ESTIMATIVAS DO MÊS ──</t>
  </si>
  <si>
    <t>Mercado - Alimentação Semanal / utilitários - 580VR + 130 - 32,27 * 22 dias</t>
  </si>
  <si>
    <t>Caixa</t>
  </si>
  <si>
    <t>Finais de Semana  - Alimentação / Lazer - 600 - 60 * 10 dias</t>
  </si>
  <si>
    <t>Locomoções - Uberes e Buz - 310 -  10 * 31 dias</t>
  </si>
  <si>
    <t>Uber e Urbs</t>
  </si>
  <si>
    <t>Para mês que vem</t>
  </si>
  <si>
    <t>Guardar o que sobra e distribuir pelas caixinhas</t>
  </si>
  <si>
    <t>SALDO DISPONÍVEL</t>
  </si>
  <si>
    <t>Status</t>
  </si>
  <si>
    <t>Investimentos para rena passiva</t>
  </si>
  <si>
    <t>Reserva de Aposentadoria</t>
  </si>
  <si>
    <t>Casa Própria</t>
  </si>
  <si>
    <t>Investimentos para emergencias</t>
  </si>
  <si>
    <t>Gatas</t>
  </si>
  <si>
    <t>Reserva de Emergência</t>
  </si>
  <si>
    <t>Investimentos para experiencias de vida</t>
  </si>
  <si>
    <t>Viagens</t>
  </si>
  <si>
    <t>Carro</t>
  </si>
  <si>
    <t>Investimentos para necessidades</t>
  </si>
  <si>
    <t>Vetuário</t>
  </si>
  <si>
    <t>Computador</t>
  </si>
  <si>
    <t>Celulares</t>
  </si>
  <si>
    <t>Eletrodomésticos</t>
  </si>
  <si>
    <t>Investimentos para presentes</t>
  </si>
  <si>
    <t>De niversário</t>
  </si>
  <si>
    <t>Romanticos</t>
  </si>
  <si>
    <t>De datas especiais</t>
  </si>
  <si>
    <t>Uber de volta senai</t>
  </si>
  <si>
    <t>quant_falt_paraKitar</t>
  </si>
  <si>
    <t>Fatura coisas geral</t>
  </si>
  <si>
    <t>3 de 3</t>
  </si>
  <si>
    <t>10 de 12</t>
  </si>
  <si>
    <t>8 de 12</t>
  </si>
  <si>
    <t>3 de 12</t>
  </si>
  <si>
    <t>nu - Da</t>
  </si>
  <si>
    <t>Crédito</t>
  </si>
  <si>
    <t>Empréstimo pessoal - 12x R$ 68, 42</t>
  </si>
  <si>
    <t>Empréstimo pessoal - 12x R$ 40,68</t>
  </si>
  <si>
    <t>Empréstimo pessoal - 12x R$ 27,12</t>
  </si>
  <si>
    <t>Transferência via Pix a Davi... - 2x R$ 9,10</t>
  </si>
  <si>
    <t>Transferência via Pix a Davi... - 3x R$ 9,62</t>
  </si>
  <si>
    <t>Transferência via Pix a Davi... - 4x R$ 7,56</t>
  </si>
  <si>
    <t>Transferência via Pix a Davi... - 3x R$ 6,68</t>
  </si>
  <si>
    <t>Transferência via Pix a Davi... - 3x R$ 26,05</t>
  </si>
  <si>
    <t>Transferência via Pix a Davi... - 1x R$ 17,08</t>
  </si>
  <si>
    <t>Empréstimo pessoal - 12x R$ 57,86</t>
  </si>
  <si>
    <t>── FIXAS ──</t>
  </si>
  <si>
    <t>11 de 12</t>
  </si>
  <si>
    <t>8 de 9</t>
  </si>
  <si>
    <t>4 de 12</t>
  </si>
  <si>
    <t>Geral</t>
  </si>
  <si>
    <t xml:space="preserve">3 de 5 </t>
  </si>
  <si>
    <t>8 de 10</t>
  </si>
  <si>
    <t>11 de 18</t>
  </si>
  <si>
    <t xml:space="preserve"> 3 de 12</t>
  </si>
  <si>
    <t>2 de 4</t>
  </si>
  <si>
    <t>2 de 1</t>
  </si>
  <si>
    <t>CONTROLE FINANCEIRO DE JULHO</t>
  </si>
  <si>
    <t>ss</t>
  </si>
  <si>
    <t>Daniel Scholze ( 10 de 10 )</t>
  </si>
  <si>
    <t>9 de 9</t>
  </si>
  <si>
    <t xml:space="preserve">4 de 5 </t>
  </si>
  <si>
    <t>9 de 10</t>
  </si>
  <si>
    <t>12 de 18</t>
  </si>
  <si>
    <t>3 de 4</t>
  </si>
  <si>
    <t>CONTROLE FINANCEIRO DE AGOSTO</t>
  </si>
  <si>
    <t>5 de 12</t>
  </si>
  <si>
    <t xml:space="preserve">5 de 5 </t>
  </si>
  <si>
    <t>10 de 10</t>
  </si>
  <si>
    <t>13 de 18</t>
  </si>
  <si>
    <t>4 de 4</t>
  </si>
  <si>
    <t>CONTROLE FINANCEIRO DE SETEMBRO</t>
  </si>
  <si>
    <t>12 de 12</t>
  </si>
  <si>
    <t>14 de 18</t>
  </si>
  <si>
    <t>CONTROLE FINANCEIRO DE OUTUBRO</t>
  </si>
  <si>
    <t>15 de 18</t>
  </si>
  <si>
    <t>CONTROLE FINANCEIRO — JUN-26</t>
  </si>
  <si>
    <t>CONTAS NOS CARTÕES DE CRÉDITO</t>
  </si>
  <si>
    <t>Investimentos para Renda Passiva</t>
  </si>
  <si>
    <t>Investimentos para Emergências</t>
  </si>
  <si>
    <t>Investimentos para Experiências de Vida</t>
  </si>
  <si>
    <t>Investimentos para Necessidades</t>
  </si>
  <si>
    <t>Investimentos para Presentes</t>
  </si>
  <si>
    <t xml:space="preserve">BRADESCO SASA — Cartão de Crédito  </t>
  </si>
  <si>
    <t xml:space="preserve">C6 SASA — Cartão de Crédito  </t>
  </si>
  <si>
    <t xml:space="preserve">NUBANK DAVI — Cartão de Crédito  </t>
  </si>
  <si>
    <t xml:space="preserve">INTER DAVI — Cartão de Crédito  </t>
  </si>
  <si>
    <t xml:space="preserve">MERCADO PAGO — Cartão de Crédito  </t>
  </si>
  <si>
    <t>DESPESAS FIXAS NO MÊS</t>
  </si>
  <si>
    <t>PARA PASAR O MÊS</t>
  </si>
  <si>
    <t>NUBANK SASA — Cartão de Crédito  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</si>
</sst>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.00"/>
    <numFmt numFmtId="165" formatCode="[$R$ -416]#,##0.00"/>
    <numFmt numFmtId="166" formatCode="&quot;R$&quot;\ #,##0.00"/>
  </numFmts>
  <fonts count="32" x14ac:knownFonts="1">
    <font>
      <sz val="10"/>
      <color rgb="FF000000"/>
      <name val="Arial"/>
      <scheme val="minor"/>
    </font>
    <font>
      <b/>
      <sz val="11"/>
      <color rgb="FFE8E8E8"/>
      <name val="Arial"/>
    </font>
    <font>
      <sz val="10"/>
      <name val="Arial"/>
    </font>
    <font>
      <b/>
      <sz val="11"/>
      <color rgb="FFE8E8E8"/>
      <name val="Calibri"/>
    </font>
    <font>
      <b/>
      <i/>
      <sz val="11"/>
      <color rgb="FFE8E8E8"/>
      <name val="Calibri"/>
    </font>
    <font>
      <sz val="10"/>
      <color rgb="FFE8E8E8"/>
      <name val="Arial"/>
    </font>
    <font>
      <b/>
      <sz val="11"/>
      <color rgb="FF64B5F6"/>
      <name val="Calibri"/>
    </font>
    <font>
      <b/>
      <sz val="10"/>
      <color rgb="FFE8E8E8"/>
      <name val="Calibri"/>
    </font>
    <font>
      <sz val="10"/>
      <color rgb="FF000000"/>
      <name val="Arial"/>
    </font>
    <font>
      <sz val="10"/>
      <color rgb="FFE8E8E8"/>
      <name val="Calibri"/>
    </font>
    <font>
      <b/>
      <sz val="10"/>
      <color rgb="FF81C784"/>
      <name val="Calibri"/>
    </font>
    <font>
      <b/>
      <sz val="10"/>
      <color rgb="FF64B5F6"/>
      <name val="Arial"/>
    </font>
    <font>
      <b/>
      <sz val="11"/>
      <color theme="4"/>
      <name val="Calibri"/>
    </font>
    <font>
      <b/>
      <sz val="12"/>
      <color rgb="FF81C784"/>
      <name val="Calibri"/>
    </font>
    <font>
      <b/>
      <sz val="11"/>
      <color rgb="FF81C784"/>
      <name val="Calibri"/>
    </font>
    <font>
      <i/>
      <sz val="10"/>
      <color rgb="FFA0A0A0"/>
      <name val="Calibri"/>
    </font>
    <font>
      <b/>
      <sz val="10"/>
      <color theme="4"/>
      <name val="Calibri"/>
    </font>
    <font>
      <b/>
      <sz val="10"/>
      <color rgb="FFFFFFFF"/>
      <name val="Arial"/>
      <family val="2"/>
    </font>
    <font>
      <b/>
      <sz val="11"/>
      <color rgb="FFFFFFFF"/>
      <name val="Calibri"/>
      <family val="2"/>
    </font>
    <font>
      <b/>
      <sz val="14"/>
      <color rgb="FFFFFFFF"/>
      <name val="Arial"/>
      <family val="2"/>
    </font>
    <font>
      <b/>
      <sz val="14"/>
      <color rgb="FFFFFFFF"/>
      <name val="Calibri"/>
      <family val="2"/>
    </font>
    <font>
      <b/>
      <i/>
      <sz val="14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i/>
      <sz val="10"/>
      <color rgb="FFFFFFFF"/>
      <name val="Calibri"/>
      <family val="2"/>
    </font>
    <font>
      <sz val="10"/>
      <color rgb="FF000000"/>
      <name val="Arial"/>
      <family val="2"/>
      <scheme val="minor"/>
    </font>
    <font>
      <b/>
      <sz val="13"/>
      <color rgb="FFFFFFFF"/>
      <name val="Calibri"/>
      <family val="2"/>
    </font>
    <font>
      <b/>
      <sz val="10"/>
      <color theme="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2A2A2A"/>
        <bgColor rgb="FF2A2A2A"/>
      </patternFill>
    </fill>
    <fill>
      <patternFill patternType="solid">
        <fgColor rgb="FFD0E0E3"/>
        <bgColor rgb="FFD0E0E3"/>
      </patternFill>
    </fill>
    <fill>
      <patternFill patternType="solid">
        <fgColor rgb="FF1E1E1E"/>
        <bgColor rgb="FF1E1E1E"/>
      </patternFill>
    </fill>
    <fill>
      <patternFill patternType="solid">
        <fgColor rgb="FF1A3A4A"/>
        <bgColor rgb="FF1A3A4A"/>
      </patternFill>
    </fill>
    <fill>
      <patternFill patternType="solid">
        <fgColor rgb="FF4A1A1A"/>
        <bgColor rgb="FF4A1A1A"/>
      </patternFill>
    </fill>
    <fill>
      <patternFill patternType="solid">
        <fgColor rgb="FF1B3A2A"/>
        <bgColor rgb="FF1B3A2A"/>
      </patternFill>
    </fill>
    <fill>
      <patternFill patternType="solid">
        <fgColor rgb="FF6AA84F"/>
        <bgColor rgb="FF6AA84F"/>
      </patternFill>
    </fill>
    <fill>
      <patternFill patternType="solid">
        <fgColor theme="7"/>
        <bgColor theme="7"/>
      </patternFill>
    </fill>
    <fill>
      <patternFill patternType="solid">
        <fgColor rgb="FF1F3864"/>
        <bgColor indexed="64"/>
      </patternFill>
    </fill>
    <fill>
      <patternFill patternType="solid">
        <fgColor rgb="FF8A05BE"/>
        <bgColor indexed="64"/>
      </patternFill>
    </fill>
    <fill>
      <patternFill patternType="solid">
        <fgColor rgb="FF1F4E96"/>
        <bgColor indexed="64"/>
      </patternFill>
    </fill>
    <fill>
      <patternFill patternType="solid">
        <fgColor rgb="FF1F1F1F"/>
        <bgColor indexed="64"/>
      </patternFill>
    </fill>
    <fill>
      <patternFill patternType="solid">
        <fgColor rgb="FFFF7A00"/>
        <bgColor indexed="64"/>
      </patternFill>
    </fill>
    <fill>
      <patternFill patternType="solid">
        <fgColor rgb="FF009EE3"/>
        <bgColor indexed="64"/>
      </patternFill>
    </fill>
    <fill>
      <patternFill patternType="solid">
        <fgColor rgb="FF1E6B3A"/>
        <bgColor indexed="64"/>
      </patternFill>
    </fill>
    <fill>
      <patternFill patternType="solid">
        <fgColor rgb="FF3C8C5A"/>
        <bgColor indexed="64"/>
      </patternFill>
    </fill>
    <fill>
      <patternFill patternType="solid">
        <fgColor rgb="FFF8F1E0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2D1B5C"/>
        <bgColor indexed="64"/>
      </patternFill>
    </fill>
  </fills>
  <borders count="55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ck">
        <color indexed="64"/>
      </left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92">
    <xf numFmtId="0" fontId="0" fillId="0" borderId="0" xfId="0"/>
    <xf numFmtId="0" fontId="3" fillId="2" borderId="4" xfId="0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164" fontId="4" fillId="2" borderId="7" xfId="0" applyNumberFormat="1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8" fillId="4" borderId="9" xfId="0" applyFont="1" applyFill="1" applyBorder="1"/>
    <xf numFmtId="0" fontId="8" fillId="4" borderId="6" xfId="0" applyFont="1" applyFill="1" applyBorder="1"/>
    <xf numFmtId="0" fontId="7" fillId="2" borderId="10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left" vertical="center"/>
    </xf>
    <xf numFmtId="0" fontId="9" fillId="6" borderId="6" xfId="0" applyFont="1" applyFill="1" applyBorder="1" applyAlignment="1">
      <alignment horizontal="center" vertical="center"/>
    </xf>
    <xf numFmtId="164" fontId="9" fillId="6" borderId="6" xfId="0" applyNumberFormat="1" applyFont="1" applyFill="1" applyBorder="1" applyAlignment="1">
      <alignment horizontal="right" vertical="center"/>
    </xf>
    <xf numFmtId="165" fontId="9" fillId="6" borderId="6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left" vertical="center"/>
    </xf>
    <xf numFmtId="164" fontId="9" fillId="2" borderId="6" xfId="0" applyNumberFormat="1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left" vertical="center"/>
    </xf>
    <xf numFmtId="165" fontId="9" fillId="2" borderId="6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center" vertical="center"/>
    </xf>
    <xf numFmtId="165" fontId="10" fillId="2" borderId="6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164" fontId="12" fillId="3" borderId="6" xfId="0" applyNumberFormat="1" applyFont="1" applyFill="1" applyBorder="1" applyAlignment="1">
      <alignment horizontal="center" vertical="center"/>
    </xf>
    <xf numFmtId="165" fontId="9" fillId="6" borderId="6" xfId="0" applyNumberFormat="1" applyFont="1" applyFill="1" applyBorder="1" applyAlignment="1">
      <alignment horizontal="right" vertical="center"/>
    </xf>
    <xf numFmtId="164" fontId="14" fillId="7" borderId="6" xfId="0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left" vertical="center"/>
    </xf>
    <xf numFmtId="164" fontId="9" fillId="2" borderId="18" xfId="0" applyNumberFormat="1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164" fontId="4" fillId="2" borderId="29" xfId="0" applyNumberFormat="1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165" fontId="11" fillId="2" borderId="26" xfId="0" applyNumberFormat="1" applyFont="1" applyFill="1" applyBorder="1" applyAlignment="1">
      <alignment horizontal="center" vertical="center"/>
    </xf>
    <xf numFmtId="165" fontId="6" fillId="2" borderId="26" xfId="0" applyNumberFormat="1" applyFont="1" applyFill="1" applyBorder="1" applyAlignment="1">
      <alignment horizontal="center" vertical="center"/>
    </xf>
    <xf numFmtId="164" fontId="6" fillId="2" borderId="11" xfId="0" applyNumberFormat="1" applyFont="1" applyFill="1" applyBorder="1" applyAlignment="1">
      <alignment horizontal="center" vertical="center"/>
    </xf>
    <xf numFmtId="164" fontId="16" fillId="3" borderId="6" xfId="0" applyNumberFormat="1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left" vertical="center"/>
    </xf>
    <xf numFmtId="0" fontId="9" fillId="8" borderId="6" xfId="0" applyFont="1" applyFill="1" applyBorder="1" applyAlignment="1">
      <alignment horizontal="center" vertical="center"/>
    </xf>
    <xf numFmtId="164" fontId="9" fillId="8" borderId="6" xfId="0" applyNumberFormat="1" applyFont="1" applyFill="1" applyBorder="1" applyAlignment="1">
      <alignment horizontal="right" vertical="center"/>
    </xf>
    <xf numFmtId="165" fontId="11" fillId="8" borderId="26" xfId="0" applyNumberFormat="1" applyFont="1" applyFill="1" applyBorder="1" applyAlignment="1">
      <alignment horizontal="center" vertical="center"/>
    </xf>
    <xf numFmtId="165" fontId="5" fillId="9" borderId="6" xfId="0" applyNumberFormat="1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left" vertical="center"/>
    </xf>
    <xf numFmtId="0" fontId="9" fillId="9" borderId="6" xfId="0" applyFont="1" applyFill="1" applyBorder="1" applyAlignment="1">
      <alignment horizontal="center" vertical="center"/>
    </xf>
    <xf numFmtId="164" fontId="9" fillId="9" borderId="6" xfId="0" applyNumberFormat="1" applyFont="1" applyFill="1" applyBorder="1" applyAlignment="1">
      <alignment horizontal="right" vertical="center"/>
    </xf>
    <xf numFmtId="165" fontId="6" fillId="9" borderId="26" xfId="0" applyNumberFormat="1" applyFont="1" applyFill="1" applyBorder="1" applyAlignment="1">
      <alignment horizontal="center" vertical="center"/>
    </xf>
    <xf numFmtId="165" fontId="11" fillId="2" borderId="14" xfId="0" applyNumberFormat="1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165" fontId="9" fillId="6" borderId="15" xfId="0" applyNumberFormat="1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21" xfId="0" applyFont="1" applyBorder="1"/>
    <xf numFmtId="165" fontId="6" fillId="2" borderId="16" xfId="0" applyNumberFormat="1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2" xfId="0" applyFont="1" applyBorder="1"/>
    <xf numFmtId="0" fontId="9" fillId="6" borderId="15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left" vertical="center"/>
    </xf>
    <xf numFmtId="0" fontId="2" fillId="0" borderId="8" xfId="0" applyFont="1" applyBorder="1"/>
    <xf numFmtId="0" fontId="2" fillId="0" borderId="13" xfId="0" applyFont="1" applyBorder="1"/>
    <xf numFmtId="0" fontId="9" fillId="2" borderId="23" xfId="0" applyFont="1" applyFill="1" applyBorder="1" applyAlignment="1">
      <alignment horizontal="center" vertical="center"/>
    </xf>
    <xf numFmtId="0" fontId="2" fillId="0" borderId="24" xfId="0" applyFont="1" applyBorder="1"/>
    <xf numFmtId="0" fontId="2" fillId="0" borderId="25" xfId="0" applyFont="1" applyBorder="1"/>
    <xf numFmtId="0" fontId="13" fillId="7" borderId="26" xfId="0" applyFont="1" applyFill="1" applyBorder="1" applyAlignment="1">
      <alignment horizontal="center" vertical="center"/>
    </xf>
    <xf numFmtId="0" fontId="2" fillId="0" borderId="9" xfId="0" applyFont="1" applyBorder="1"/>
    <xf numFmtId="164" fontId="11" fillId="2" borderId="16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6" fillId="5" borderId="1" xfId="0" applyFont="1" applyFill="1" applyBorder="1" applyAlignment="1">
      <alignment horizontal="center" vertical="center"/>
    </xf>
    <xf numFmtId="0" fontId="2" fillId="0" borderId="7" xfId="0" applyFont="1" applyBorder="1"/>
    <xf numFmtId="164" fontId="6" fillId="2" borderId="16" xfId="0" applyNumberFormat="1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center" vertical="center"/>
    </xf>
    <xf numFmtId="0" fontId="24" fillId="18" borderId="19" xfId="0" applyFont="1" applyFill="1" applyBorder="1"/>
    <xf numFmtId="0" fontId="24" fillId="18" borderId="21" xfId="0" applyFont="1" applyFill="1" applyBorder="1"/>
    <xf numFmtId="0" fontId="24" fillId="0" borderId="6" xfId="0" applyFont="1" applyFill="1" applyBorder="1" applyAlignment="1">
      <alignment horizontal="center" vertical="center"/>
    </xf>
    <xf numFmtId="0" fontId="24" fillId="0" borderId="9" xfId="0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0" fontId="24" fillId="0" borderId="9" xfId="0" applyFont="1" applyFill="1" applyBorder="1"/>
    <xf numFmtId="0" fontId="24" fillId="0" borderId="6" xfId="0" applyFont="1" applyFill="1" applyBorder="1"/>
    <xf numFmtId="0" fontId="24" fillId="0" borderId="21" xfId="0" applyFont="1" applyFill="1" applyBorder="1" applyAlignment="1">
      <alignment horizontal="left" vertical="center"/>
    </xf>
    <xf numFmtId="0" fontId="24" fillId="0" borderId="21" xfId="0" applyFont="1" applyFill="1" applyBorder="1" applyAlignment="1">
      <alignment horizontal="center" vertical="center"/>
    </xf>
    <xf numFmtId="0" fontId="24" fillId="0" borderId="6" xfId="0" applyFont="1" applyFill="1" applyBorder="1" applyAlignment="1">
      <alignment horizontal="left" vertical="center"/>
    </xf>
    <xf numFmtId="0" fontId="29" fillId="0" borderId="0" xfId="0" applyFont="1" applyFill="1"/>
    <xf numFmtId="0" fontId="22" fillId="19" borderId="6" xfId="0" applyFont="1" applyFill="1" applyBorder="1" applyAlignment="1">
      <alignment horizontal="center" vertical="center"/>
    </xf>
    <xf numFmtId="0" fontId="22" fillId="19" borderId="26" xfId="0" applyFont="1" applyFill="1" applyBorder="1" applyAlignment="1">
      <alignment horizontal="center" vertical="center"/>
    </xf>
    <xf numFmtId="0" fontId="23" fillId="18" borderId="6" xfId="0" applyFont="1" applyFill="1" applyBorder="1" applyAlignment="1">
      <alignment horizontal="center" vertical="center"/>
    </xf>
    <xf numFmtId="164" fontId="23" fillId="18" borderId="6" xfId="0" applyNumberFormat="1" applyFont="1" applyFill="1" applyBorder="1" applyAlignment="1">
      <alignment horizontal="right" vertical="center"/>
    </xf>
    <xf numFmtId="165" fontId="23" fillId="18" borderId="6" xfId="0" applyNumberFormat="1" applyFont="1" applyFill="1" applyBorder="1" applyAlignment="1">
      <alignment horizontal="center" vertical="center"/>
    </xf>
    <xf numFmtId="0" fontId="24" fillId="18" borderId="26" xfId="0" applyFont="1" applyFill="1" applyBorder="1" applyAlignment="1">
      <alignment horizontal="center" vertical="center"/>
    </xf>
    <xf numFmtId="0" fontId="23" fillId="18" borderId="6" xfId="0" applyFont="1" applyFill="1" applyBorder="1" applyAlignment="1">
      <alignment horizontal="left" vertical="center"/>
    </xf>
    <xf numFmtId="0" fontId="23" fillId="18" borderId="15" xfId="0" applyFont="1" applyFill="1" applyBorder="1" applyAlignment="1">
      <alignment horizontal="center" vertical="center"/>
    </xf>
    <xf numFmtId="165" fontId="23" fillId="18" borderId="15" xfId="0" applyNumberFormat="1" applyFont="1" applyFill="1" applyBorder="1" applyAlignment="1">
      <alignment horizontal="center" vertical="center"/>
    </xf>
    <xf numFmtId="165" fontId="24" fillId="18" borderId="6" xfId="0" applyNumberFormat="1" applyFont="1" applyFill="1" applyBorder="1" applyAlignment="1">
      <alignment horizontal="center" vertical="center"/>
    </xf>
    <xf numFmtId="165" fontId="24" fillId="18" borderId="26" xfId="0" applyNumberFormat="1" applyFont="1" applyFill="1" applyBorder="1" applyAlignment="1">
      <alignment horizontal="center" vertical="center"/>
    </xf>
    <xf numFmtId="165" fontId="25" fillId="18" borderId="26" xfId="0" applyNumberFormat="1" applyFont="1" applyFill="1" applyBorder="1" applyAlignment="1">
      <alignment horizontal="center" vertical="center"/>
    </xf>
    <xf numFmtId="165" fontId="25" fillId="18" borderId="6" xfId="0" applyNumberFormat="1" applyFont="1" applyFill="1" applyBorder="1" applyAlignment="1">
      <alignment horizontal="center" vertical="center"/>
    </xf>
    <xf numFmtId="0" fontId="23" fillId="18" borderId="6" xfId="0" applyFont="1" applyFill="1" applyBorder="1" applyAlignment="1">
      <alignment horizontal="center"/>
    </xf>
    <xf numFmtId="164" fontId="23" fillId="18" borderId="6" xfId="0" applyNumberFormat="1" applyFont="1" applyFill="1" applyBorder="1" applyAlignment="1">
      <alignment horizontal="right"/>
    </xf>
    <xf numFmtId="165" fontId="25" fillId="18" borderId="26" xfId="0" applyNumberFormat="1" applyFont="1" applyFill="1" applyBorder="1" applyAlignment="1">
      <alignment horizontal="center"/>
    </xf>
    <xf numFmtId="165" fontId="23" fillId="18" borderId="6" xfId="0" applyNumberFormat="1" applyFont="1" applyFill="1" applyBorder="1" applyAlignment="1">
      <alignment horizontal="right" vertical="center"/>
    </xf>
    <xf numFmtId="164" fontId="23" fillId="18" borderId="6" xfId="0" applyNumberFormat="1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164" fontId="27" fillId="17" borderId="6" xfId="0" applyNumberFormat="1" applyFont="1" applyFill="1" applyBorder="1" applyAlignment="1">
      <alignment horizontal="center" vertical="center"/>
    </xf>
    <xf numFmtId="0" fontId="19" fillId="10" borderId="30" xfId="0" applyFont="1" applyFill="1" applyBorder="1" applyAlignment="1">
      <alignment horizontal="center" vertical="center"/>
    </xf>
    <xf numFmtId="0" fontId="19" fillId="10" borderId="31" xfId="0" applyFont="1" applyFill="1" applyBorder="1"/>
    <xf numFmtId="0" fontId="19" fillId="10" borderId="32" xfId="0" applyFont="1" applyFill="1" applyBorder="1"/>
    <xf numFmtId="0" fontId="20" fillId="10" borderId="33" xfId="0" applyFont="1" applyFill="1" applyBorder="1" applyAlignment="1">
      <alignment horizontal="center" vertical="center"/>
    </xf>
    <xf numFmtId="164" fontId="21" fillId="10" borderId="34" xfId="0" applyNumberFormat="1" applyFont="1" applyFill="1" applyBorder="1" applyAlignment="1">
      <alignment horizontal="center" vertical="center"/>
    </xf>
    <xf numFmtId="164" fontId="20" fillId="10" borderId="33" xfId="0" applyNumberFormat="1" applyFont="1" applyFill="1" applyBorder="1" applyAlignment="1">
      <alignment horizontal="center" vertical="center"/>
    </xf>
    <xf numFmtId="164" fontId="21" fillId="10" borderId="31" xfId="0" applyNumberFormat="1" applyFont="1" applyFill="1" applyBorder="1" applyAlignment="1">
      <alignment horizontal="center" vertical="center"/>
    </xf>
    <xf numFmtId="0" fontId="22" fillId="19" borderId="36" xfId="0" applyFont="1" applyFill="1" applyBorder="1" applyAlignment="1">
      <alignment horizontal="center" vertical="center"/>
    </xf>
    <xf numFmtId="0" fontId="23" fillId="18" borderId="36" xfId="0" applyFont="1" applyFill="1" applyBorder="1" applyAlignment="1">
      <alignment horizontal="left" vertical="center"/>
    </xf>
    <xf numFmtId="0" fontId="20" fillId="16" borderId="30" xfId="0" applyFont="1" applyFill="1" applyBorder="1" applyAlignment="1">
      <alignment horizontal="center" vertical="center"/>
    </xf>
    <xf numFmtId="0" fontId="19" fillId="16" borderId="31" xfId="0" applyFont="1" applyFill="1" applyBorder="1" applyAlignment="1">
      <alignment horizontal="center"/>
    </xf>
    <xf numFmtId="0" fontId="19" fillId="16" borderId="35" xfId="0" applyFont="1" applyFill="1" applyBorder="1" applyAlignment="1">
      <alignment horizontal="center"/>
    </xf>
    <xf numFmtId="0" fontId="27" fillId="16" borderId="36" xfId="0" applyFont="1" applyFill="1" applyBorder="1" applyAlignment="1">
      <alignment horizontal="center" vertical="center"/>
    </xf>
    <xf numFmtId="0" fontId="27" fillId="16" borderId="37" xfId="0" applyFont="1" applyFill="1" applyBorder="1" applyAlignment="1">
      <alignment horizontal="center" vertical="center"/>
    </xf>
    <xf numFmtId="0" fontId="23" fillId="18" borderId="36" xfId="0" applyFont="1" applyFill="1" applyBorder="1" applyAlignment="1">
      <alignment horizontal="center"/>
    </xf>
    <xf numFmtId="0" fontId="24" fillId="18" borderId="43" xfId="0" applyFont="1" applyFill="1" applyBorder="1" applyAlignment="1">
      <alignment horizontal="center" vertical="center"/>
    </xf>
    <xf numFmtId="0" fontId="27" fillId="17" borderId="44" xfId="0" applyFont="1" applyFill="1" applyBorder="1" applyAlignment="1">
      <alignment horizontal="center" vertical="center"/>
    </xf>
    <xf numFmtId="165" fontId="27" fillId="17" borderId="41" xfId="0" applyNumberFormat="1" applyFont="1" applyFill="1" applyBorder="1" applyAlignment="1">
      <alignment horizontal="center" vertical="center"/>
    </xf>
    <xf numFmtId="0" fontId="27" fillId="17" borderId="41" xfId="0" applyFont="1" applyFill="1" applyBorder="1" applyAlignment="1">
      <alignment horizontal="center" vertical="center"/>
    </xf>
    <xf numFmtId="0" fontId="17" fillId="17" borderId="42" xfId="0" applyFont="1" applyFill="1" applyBorder="1" applyAlignment="1">
      <alignment horizontal="center" vertical="center"/>
    </xf>
    <xf numFmtId="0" fontId="26" fillId="16" borderId="30" xfId="0" applyFont="1" applyFill="1" applyBorder="1" applyAlignment="1">
      <alignment horizontal="center" vertical="center"/>
    </xf>
    <xf numFmtId="164" fontId="18" fillId="16" borderId="33" xfId="0" applyNumberFormat="1" applyFont="1" applyFill="1" applyBorder="1" applyAlignment="1">
      <alignment horizontal="center" vertical="center"/>
    </xf>
    <xf numFmtId="164" fontId="23" fillId="18" borderId="15" xfId="0" applyNumberFormat="1" applyFont="1" applyFill="1" applyBorder="1" applyAlignment="1">
      <alignment horizontal="center" vertical="center"/>
    </xf>
    <xf numFmtId="0" fontId="27" fillId="16" borderId="46" xfId="0" applyFont="1" applyFill="1" applyBorder="1" applyAlignment="1">
      <alignment horizontal="center" vertical="center"/>
    </xf>
    <xf numFmtId="0" fontId="23" fillId="18" borderId="37" xfId="0" applyFont="1" applyFill="1" applyBorder="1" applyAlignment="1">
      <alignment horizontal="center" vertical="center"/>
    </xf>
    <xf numFmtId="0" fontId="27" fillId="17" borderId="37" xfId="0" applyFont="1" applyFill="1" applyBorder="1" applyAlignment="1">
      <alignment horizontal="center" vertical="center"/>
    </xf>
    <xf numFmtId="0" fontId="24" fillId="18" borderId="8" xfId="0" applyFont="1" applyFill="1" applyBorder="1" applyAlignment="1">
      <alignment horizontal="center" vertical="center"/>
    </xf>
    <xf numFmtId="0" fontId="17" fillId="16" borderId="32" xfId="0" applyFont="1" applyFill="1" applyBorder="1" applyAlignment="1">
      <alignment horizontal="center"/>
    </xf>
    <xf numFmtId="0" fontId="28" fillId="17" borderId="38" xfId="0" applyFont="1" applyFill="1" applyBorder="1" applyAlignment="1">
      <alignment horizontal="center" vertical="center"/>
    </xf>
    <xf numFmtId="0" fontId="17" fillId="17" borderId="8" xfId="0" applyFont="1" applyFill="1" applyBorder="1" applyAlignment="1">
      <alignment horizontal="center"/>
    </xf>
    <xf numFmtId="0" fontId="17" fillId="17" borderId="39" xfId="0" applyFont="1" applyFill="1" applyBorder="1" applyAlignment="1">
      <alignment horizontal="center"/>
    </xf>
    <xf numFmtId="0" fontId="27" fillId="17" borderId="36" xfId="0" applyFont="1" applyFill="1" applyBorder="1" applyAlignment="1">
      <alignment horizontal="center" vertical="center"/>
    </xf>
    <xf numFmtId="0" fontId="24" fillId="18" borderId="27" xfId="0" applyFont="1" applyFill="1" applyBorder="1" applyAlignment="1">
      <alignment horizontal="center" vertical="center"/>
    </xf>
    <xf numFmtId="0" fontId="23" fillId="18" borderId="15" xfId="0" applyFont="1" applyFill="1" applyBorder="1" applyAlignment="1">
      <alignment horizontal="center" vertical="center"/>
    </xf>
    <xf numFmtId="164" fontId="23" fillId="18" borderId="15" xfId="0" applyNumberFormat="1" applyFont="1" applyFill="1" applyBorder="1" applyAlignment="1">
      <alignment horizontal="right" vertical="center"/>
    </xf>
    <xf numFmtId="165" fontId="23" fillId="18" borderId="15" xfId="0" applyNumberFormat="1" applyFont="1" applyFill="1" applyBorder="1" applyAlignment="1">
      <alignment horizontal="center" vertical="center"/>
    </xf>
    <xf numFmtId="0" fontId="24" fillId="0" borderId="47" xfId="0" applyFont="1" applyFill="1" applyBorder="1" applyAlignment="1">
      <alignment horizontal="center" vertical="center"/>
    </xf>
    <xf numFmtId="0" fontId="23" fillId="18" borderId="49" xfId="0" applyFont="1" applyFill="1" applyBorder="1" applyAlignment="1">
      <alignment horizontal="left" vertical="center"/>
    </xf>
    <xf numFmtId="164" fontId="23" fillId="18" borderId="50" xfId="0" applyNumberFormat="1" applyFont="1" applyFill="1" applyBorder="1" applyAlignment="1">
      <alignment horizontal="center" vertical="center"/>
    </xf>
    <xf numFmtId="0" fontId="23" fillId="18" borderId="51" xfId="0" applyFont="1" applyFill="1" applyBorder="1" applyAlignment="1">
      <alignment horizontal="center" vertical="center"/>
    </xf>
    <xf numFmtId="0" fontId="23" fillId="18" borderId="40" xfId="0" applyFont="1" applyFill="1" applyBorder="1" applyAlignment="1">
      <alignment horizontal="center" vertical="center"/>
    </xf>
    <xf numFmtId="0" fontId="24" fillId="0" borderId="28" xfId="0" applyFont="1" applyFill="1" applyBorder="1" applyAlignment="1">
      <alignment horizontal="center" vertical="center"/>
    </xf>
    <xf numFmtId="0" fontId="24" fillId="0" borderId="19" xfId="0" applyFont="1" applyFill="1" applyBorder="1" applyAlignment="1">
      <alignment horizontal="center" vertical="center"/>
    </xf>
    <xf numFmtId="0" fontId="24" fillId="0" borderId="48" xfId="0" applyFont="1" applyFill="1" applyBorder="1" applyAlignment="1">
      <alignment horizontal="center" vertical="center"/>
    </xf>
    <xf numFmtId="0" fontId="23" fillId="18" borderId="52" xfId="0" applyFont="1" applyFill="1" applyBorder="1" applyAlignment="1">
      <alignment horizontal="left" vertical="center"/>
    </xf>
    <xf numFmtId="0" fontId="23" fillId="18" borderId="53" xfId="0" applyFont="1" applyFill="1" applyBorder="1" applyAlignment="1">
      <alignment horizontal="left" vertical="center"/>
    </xf>
    <xf numFmtId="0" fontId="23" fillId="18" borderId="53" xfId="0" applyFont="1" applyFill="1" applyBorder="1" applyAlignment="1">
      <alignment horizontal="center" vertical="center"/>
    </xf>
    <xf numFmtId="164" fontId="23" fillId="18" borderId="53" xfId="0" applyNumberFormat="1" applyFont="1" applyFill="1" applyBorder="1" applyAlignment="1">
      <alignment horizontal="right" vertical="center"/>
    </xf>
    <xf numFmtId="165" fontId="23" fillId="18" borderId="53" xfId="0" applyNumberFormat="1" applyFont="1" applyFill="1" applyBorder="1" applyAlignment="1">
      <alignment horizontal="center" vertical="center"/>
    </xf>
    <xf numFmtId="0" fontId="24" fillId="18" borderId="53" xfId="0" applyFont="1" applyFill="1" applyBorder="1" applyAlignment="1">
      <alignment horizontal="center" vertical="center"/>
    </xf>
    <xf numFmtId="0" fontId="23" fillId="18" borderId="53" xfId="0" applyFont="1" applyFill="1" applyBorder="1" applyAlignment="1">
      <alignment horizontal="center" vertical="center"/>
    </xf>
    <xf numFmtId="0" fontId="24" fillId="18" borderId="53" xfId="0" applyFont="1" applyFill="1" applyBorder="1"/>
    <xf numFmtId="164" fontId="23" fillId="18" borderId="53" xfId="0" applyNumberFormat="1" applyFont="1" applyFill="1" applyBorder="1" applyAlignment="1">
      <alignment horizontal="center" vertical="center"/>
    </xf>
    <xf numFmtId="166" fontId="24" fillId="18" borderId="53" xfId="0" applyNumberFormat="1" applyFont="1" applyFill="1" applyBorder="1" applyAlignment="1">
      <alignment horizontal="center" vertical="center"/>
    </xf>
    <xf numFmtId="0" fontId="18" fillId="11" borderId="38" xfId="0" applyFont="1" applyFill="1" applyBorder="1" applyAlignment="1">
      <alignment vertical="center"/>
    </xf>
    <xf numFmtId="0" fontId="17" fillId="11" borderId="8" xfId="0" applyFont="1" applyFill="1" applyBorder="1" applyAlignment="1"/>
    <xf numFmtId="164" fontId="23" fillId="18" borderId="21" xfId="0" applyNumberFormat="1" applyFont="1" applyFill="1" applyBorder="1" applyAlignment="1">
      <alignment horizontal="right" vertical="center"/>
    </xf>
    <xf numFmtId="164" fontId="17" fillId="11" borderId="53" xfId="0" applyNumberFormat="1" applyFont="1" applyFill="1" applyBorder="1" applyAlignment="1">
      <alignment horizontal="center"/>
    </xf>
    <xf numFmtId="0" fontId="18" fillId="12" borderId="38" xfId="0" applyFont="1" applyFill="1" applyBorder="1" applyAlignment="1">
      <alignment vertical="center"/>
    </xf>
    <xf numFmtId="0" fontId="17" fillId="12" borderId="8" xfId="0" applyFont="1" applyFill="1" applyBorder="1" applyAlignment="1"/>
    <xf numFmtId="0" fontId="18" fillId="13" borderId="38" xfId="0" applyFont="1" applyFill="1" applyBorder="1" applyAlignment="1">
      <alignment vertical="center"/>
    </xf>
    <xf numFmtId="0" fontId="17" fillId="13" borderId="8" xfId="0" applyFont="1" applyFill="1" applyBorder="1" applyAlignment="1"/>
    <xf numFmtId="0" fontId="18" fillId="14" borderId="38" xfId="0" applyFont="1" applyFill="1" applyBorder="1" applyAlignment="1">
      <alignment vertical="center"/>
    </xf>
    <xf numFmtId="0" fontId="17" fillId="14" borderId="8" xfId="0" applyFont="1" applyFill="1" applyBorder="1" applyAlignment="1"/>
    <xf numFmtId="0" fontId="18" fillId="15" borderId="38" xfId="0" applyFont="1" applyFill="1" applyBorder="1" applyAlignment="1">
      <alignment vertical="center"/>
    </xf>
    <xf numFmtId="0" fontId="17" fillId="15" borderId="8" xfId="0" applyFont="1" applyFill="1" applyBorder="1" applyAlignment="1"/>
    <xf numFmtId="0" fontId="18" fillId="11" borderId="8" xfId="0" applyFont="1" applyFill="1" applyBorder="1" applyAlignment="1">
      <alignment vertical="center"/>
    </xf>
    <xf numFmtId="0" fontId="30" fillId="20" borderId="38" xfId="0" applyFont="1" applyFill="1" applyBorder="1" applyAlignment="1">
      <alignment horizontal="center" vertical="center"/>
    </xf>
    <xf numFmtId="0" fontId="30" fillId="20" borderId="8" xfId="0" applyFont="1" applyFill="1" applyBorder="1" applyAlignment="1">
      <alignment horizontal="center" vertical="center"/>
    </xf>
    <xf numFmtId="0" fontId="30" fillId="20" borderId="54" xfId="0" applyFont="1" applyFill="1" applyBorder="1" applyAlignment="1">
      <alignment horizontal="center" vertical="center"/>
    </xf>
    <xf numFmtId="0" fontId="30" fillId="20" borderId="45" xfId="0" applyFont="1" applyFill="1" applyBorder="1" applyAlignment="1">
      <alignment horizontal="center" vertical="center"/>
    </xf>
    <xf numFmtId="164" fontId="23" fillId="18" borderId="19" xfId="0" applyNumberFormat="1" applyFont="1" applyFill="1" applyBorder="1" applyAlignment="1">
      <alignment horizontal="right" vertical="center"/>
    </xf>
    <xf numFmtId="164" fontId="23" fillId="18" borderId="21" xfId="0" applyNumberFormat="1" applyFont="1" applyFill="1" applyBorder="1" applyAlignment="1">
      <alignment horizontal="right"/>
    </xf>
    <xf numFmtId="165" fontId="23" fillId="18" borderId="21" xfId="0" applyNumberFormat="1" applyFont="1" applyFill="1" applyBorder="1" applyAlignment="1">
      <alignment horizontal="right" vertical="center"/>
    </xf>
    <xf numFmtId="164" fontId="31" fillId="12" borderId="53" xfId="0" applyNumberFormat="1" applyFont="1" applyFill="1" applyBorder="1" applyAlignment="1">
      <alignment horizontal="center"/>
    </xf>
    <xf numFmtId="164" fontId="31" fillId="13" borderId="53" xfId="0" applyNumberFormat="1" applyFont="1" applyFill="1" applyBorder="1" applyAlignment="1">
      <alignment horizontal="center"/>
    </xf>
    <xf numFmtId="164" fontId="31" fillId="11" borderId="53" xfId="0" applyNumberFormat="1" applyFont="1" applyFill="1" applyBorder="1" applyAlignment="1">
      <alignment horizontal="center"/>
    </xf>
    <xf numFmtId="164" fontId="31" fillId="14" borderId="53" xfId="0" applyNumberFormat="1" applyFont="1" applyFill="1" applyBorder="1" applyAlignment="1">
      <alignment horizontal="center"/>
    </xf>
    <xf numFmtId="165" fontId="31" fillId="15" borderId="5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Right="0"/>
  </sheetPr>
  <dimension ref="A1:AD943"/>
  <sheetViews>
    <sheetView tabSelected="1" topLeftCell="A15" zoomScale="37" workbookViewId="0">
      <selection activeCell="F64" sqref="F64"/>
    </sheetView>
  </sheetViews>
  <sheetFormatPr defaultColWidth="12.6640625" defaultRowHeight="15" customHeight="1" outlineLevelRow="1" x14ac:dyDescent="0.25"/>
  <cols>
    <col min="1" max="1" width="51.6640625" customWidth="1"/>
    <col min="2" max="2" width="18" customWidth="1"/>
    <col min="3" max="3" width="16" customWidth="1"/>
    <col min="4" max="4" width="14" customWidth="1"/>
    <col min="5" max="5" width="12" customWidth="1"/>
    <col min="6" max="6" width="14" customWidth="1"/>
    <col min="7" max="7" width="12.77734375" customWidth="1"/>
    <col min="8" max="9" width="16" customWidth="1"/>
    <col min="10" max="10" width="9.109375" customWidth="1"/>
    <col min="11" max="11" width="28" customWidth="1"/>
    <col min="12" max="14" width="14" customWidth="1"/>
    <col min="15" max="15" width="18" customWidth="1"/>
    <col min="16" max="16" width="17.6640625" customWidth="1"/>
  </cols>
  <sheetData>
    <row r="1" spans="1:30" ht="15.75" customHeight="1" thickTop="1" x14ac:dyDescent="0.3">
      <c r="A1" s="113" t="s">
        <v>167</v>
      </c>
      <c r="B1" s="114"/>
      <c r="C1" s="114"/>
      <c r="D1" s="114"/>
      <c r="E1" s="115"/>
      <c r="F1" s="116" t="s">
        <v>0</v>
      </c>
      <c r="G1" s="117"/>
      <c r="H1" s="118">
        <f>L9</f>
        <v>6240</v>
      </c>
      <c r="I1" s="119"/>
      <c r="J1" s="86"/>
      <c r="K1" s="122" t="s">
        <v>1</v>
      </c>
      <c r="L1" s="123"/>
      <c r="M1" s="123"/>
      <c r="N1" s="123"/>
      <c r="O1" s="123"/>
      <c r="P1" s="124"/>
      <c r="Q1" s="85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</row>
    <row r="2" spans="1:30" ht="15.75" customHeight="1" x14ac:dyDescent="0.25">
      <c r="A2" s="120" t="s">
        <v>2</v>
      </c>
      <c r="B2" s="93" t="s">
        <v>3</v>
      </c>
      <c r="C2" s="93" t="s">
        <v>4</v>
      </c>
      <c r="D2" s="93" t="s">
        <v>5</v>
      </c>
      <c r="E2" s="93" t="s">
        <v>6</v>
      </c>
      <c r="F2" s="93" t="s">
        <v>7</v>
      </c>
      <c r="G2" s="93" t="s">
        <v>8</v>
      </c>
      <c r="H2" s="93" t="s">
        <v>9</v>
      </c>
      <c r="I2" s="94" t="s">
        <v>119</v>
      </c>
      <c r="J2" s="86"/>
      <c r="K2" s="125" t="s">
        <v>11</v>
      </c>
      <c r="L2" s="111" t="s">
        <v>12</v>
      </c>
      <c r="M2" s="111" t="s">
        <v>13</v>
      </c>
      <c r="N2" s="111" t="s">
        <v>14</v>
      </c>
      <c r="O2" s="111" t="s">
        <v>15</v>
      </c>
      <c r="P2" s="126" t="s">
        <v>16</v>
      </c>
      <c r="Q2" s="87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</row>
    <row r="3" spans="1:30" ht="15.75" customHeight="1" thickBot="1" x14ac:dyDescent="0.35">
      <c r="A3" s="180" t="s">
        <v>179</v>
      </c>
      <c r="B3" s="181"/>
      <c r="C3" s="181"/>
      <c r="D3" s="181"/>
      <c r="E3" s="181"/>
      <c r="F3" s="181"/>
      <c r="G3" s="181"/>
      <c r="H3" s="181"/>
      <c r="I3" s="181"/>
      <c r="J3" s="86"/>
      <c r="K3" s="127"/>
      <c r="L3" s="106"/>
      <c r="M3" s="106"/>
      <c r="N3" s="106"/>
      <c r="O3" s="106"/>
      <c r="P3" s="128"/>
      <c r="Q3" s="85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</row>
    <row r="4" spans="1:30" ht="15.75" customHeight="1" thickTop="1" thickBot="1" x14ac:dyDescent="0.3">
      <c r="A4" s="121" t="s">
        <v>17</v>
      </c>
      <c r="B4" s="95" t="s">
        <v>18</v>
      </c>
      <c r="C4" s="95" t="s">
        <v>19</v>
      </c>
      <c r="D4" s="95" t="s">
        <v>20</v>
      </c>
      <c r="E4" s="95" t="s">
        <v>20</v>
      </c>
      <c r="F4" s="96">
        <v>65</v>
      </c>
      <c r="G4" s="97" t="s">
        <v>89</v>
      </c>
      <c r="H4" s="96">
        <f>H1-F4</f>
        <v>6175</v>
      </c>
      <c r="I4" s="98"/>
      <c r="J4" s="86"/>
      <c r="K4" s="121" t="s">
        <v>21</v>
      </c>
      <c r="L4" s="96">
        <v>2540</v>
      </c>
      <c r="M4" s="96">
        <v>580</v>
      </c>
      <c r="N4" s="96">
        <v>264</v>
      </c>
      <c r="O4" s="99">
        <v>5</v>
      </c>
      <c r="P4" s="128" t="s">
        <v>89</v>
      </c>
      <c r="Q4" s="85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</row>
    <row r="5" spans="1:30" ht="15.75" customHeight="1" thickTop="1" thickBot="1" x14ac:dyDescent="0.3">
      <c r="A5" s="121" t="s">
        <v>22</v>
      </c>
      <c r="B5" s="95" t="s">
        <v>23</v>
      </c>
      <c r="C5" s="95" t="s">
        <v>24</v>
      </c>
      <c r="D5" s="95" t="s">
        <v>20</v>
      </c>
      <c r="E5" s="95">
        <v>7</v>
      </c>
      <c r="F5" s="96">
        <v>1371.16</v>
      </c>
      <c r="G5" s="97" t="s">
        <v>89</v>
      </c>
      <c r="H5" s="96">
        <f t="shared" ref="H5:H9" si="0">H4-F5</f>
        <v>4803.84</v>
      </c>
      <c r="I5" s="98"/>
      <c r="J5" s="86"/>
      <c r="K5" s="121" t="s">
        <v>25</v>
      </c>
      <c r="L5" s="96">
        <v>2000</v>
      </c>
      <c r="M5" s="109" t="s">
        <v>20</v>
      </c>
      <c r="N5" s="109" t="s">
        <v>20</v>
      </c>
      <c r="O5" s="99">
        <v>10</v>
      </c>
      <c r="P5" s="128" t="s">
        <v>89</v>
      </c>
      <c r="Q5" s="85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</row>
    <row r="6" spans="1:30" ht="15.75" customHeight="1" thickTop="1" thickBot="1" x14ac:dyDescent="0.3">
      <c r="A6" s="121" t="s">
        <v>26</v>
      </c>
      <c r="B6" s="95" t="s">
        <v>27</v>
      </c>
      <c r="C6" s="95" t="s">
        <v>24</v>
      </c>
      <c r="D6" s="95" t="s">
        <v>20</v>
      </c>
      <c r="E6" s="95">
        <v>7</v>
      </c>
      <c r="F6" s="96">
        <v>473.45</v>
      </c>
      <c r="G6" s="97" t="s">
        <v>89</v>
      </c>
      <c r="H6" s="96">
        <f t="shared" si="0"/>
        <v>4330.3900000000003</v>
      </c>
      <c r="I6" s="98"/>
      <c r="J6" s="86"/>
      <c r="K6" s="121" t="s">
        <v>28</v>
      </c>
      <c r="L6" s="96">
        <v>400</v>
      </c>
      <c r="M6" s="109" t="s">
        <v>20</v>
      </c>
      <c r="N6" s="109" t="s">
        <v>20</v>
      </c>
      <c r="O6" s="99">
        <v>10</v>
      </c>
      <c r="P6" s="128" t="s">
        <v>89</v>
      </c>
      <c r="Q6" s="85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</row>
    <row r="7" spans="1:30" ht="15.75" customHeight="1" thickTop="1" thickBot="1" x14ac:dyDescent="0.3">
      <c r="A7" s="121" t="s">
        <v>29</v>
      </c>
      <c r="B7" s="95" t="s">
        <v>30</v>
      </c>
      <c r="C7" s="95" t="s">
        <v>31</v>
      </c>
      <c r="D7" s="95" t="s">
        <v>20</v>
      </c>
      <c r="E7" s="95">
        <v>20</v>
      </c>
      <c r="F7" s="96">
        <v>127.99</v>
      </c>
      <c r="G7" s="97" t="s">
        <v>89</v>
      </c>
      <c r="H7" s="96">
        <f t="shared" si="0"/>
        <v>4202.4000000000005</v>
      </c>
      <c r="I7" s="98"/>
      <c r="J7" s="86"/>
      <c r="K7" s="121" t="s">
        <v>34</v>
      </c>
      <c r="L7" s="96">
        <v>500</v>
      </c>
      <c r="M7" s="109" t="s">
        <v>20</v>
      </c>
      <c r="N7" s="109" t="s">
        <v>20</v>
      </c>
      <c r="O7" s="99">
        <v>10</v>
      </c>
      <c r="P7" s="128" t="s">
        <v>89</v>
      </c>
      <c r="Q7" s="85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</row>
    <row r="8" spans="1:30" ht="15.75" customHeight="1" thickTop="1" thickBot="1" x14ac:dyDescent="0.3">
      <c r="A8" s="121" t="s">
        <v>32</v>
      </c>
      <c r="B8" s="95" t="s">
        <v>33</v>
      </c>
      <c r="C8" s="95" t="s">
        <v>31</v>
      </c>
      <c r="D8" s="95" t="s">
        <v>20</v>
      </c>
      <c r="E8" s="95">
        <v>10</v>
      </c>
      <c r="F8" s="96">
        <v>40.909999999999997</v>
      </c>
      <c r="G8" s="97" t="s">
        <v>89</v>
      </c>
      <c r="H8" s="96">
        <f t="shared" si="0"/>
        <v>4161.4900000000007</v>
      </c>
      <c r="I8" s="98"/>
      <c r="J8" s="86"/>
      <c r="K8" s="121" t="s">
        <v>37</v>
      </c>
      <c r="L8" s="96">
        <v>800</v>
      </c>
      <c r="M8" s="109" t="s">
        <v>20</v>
      </c>
      <c r="N8" s="109" t="s">
        <v>20</v>
      </c>
      <c r="O8" s="99">
        <v>15</v>
      </c>
      <c r="P8" s="128" t="s">
        <v>89</v>
      </c>
      <c r="Q8" s="85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</row>
    <row r="9" spans="1:30" ht="15.75" customHeight="1" thickTop="1" thickBot="1" x14ac:dyDescent="0.3">
      <c r="A9" s="121" t="s">
        <v>35</v>
      </c>
      <c r="B9" s="95" t="s">
        <v>36</v>
      </c>
      <c r="C9" s="95" t="s">
        <v>31</v>
      </c>
      <c r="D9" s="95" t="s">
        <v>20</v>
      </c>
      <c r="E9" s="95">
        <v>17</v>
      </c>
      <c r="F9" s="96">
        <v>99.99</v>
      </c>
      <c r="G9" s="97" t="s">
        <v>89</v>
      </c>
      <c r="H9" s="96">
        <f t="shared" si="0"/>
        <v>4061.5000000000009</v>
      </c>
      <c r="I9" s="98"/>
      <c r="J9" s="86"/>
      <c r="K9" s="129"/>
      <c r="L9" s="130">
        <f>SUM(L4:L8)</f>
        <v>6240</v>
      </c>
      <c r="M9" s="130"/>
      <c r="N9" s="130"/>
      <c r="O9" s="131"/>
      <c r="P9" s="132"/>
      <c r="Q9" s="85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</row>
    <row r="10" spans="1:30" ht="15.75" customHeight="1" thickTop="1" x14ac:dyDescent="0.25">
      <c r="A10" s="121" t="s">
        <v>76</v>
      </c>
      <c r="B10" s="95" t="s">
        <v>77</v>
      </c>
      <c r="C10" s="95" t="s">
        <v>31</v>
      </c>
      <c r="D10" s="95" t="s">
        <v>20</v>
      </c>
      <c r="E10" s="95" t="s">
        <v>54</v>
      </c>
      <c r="F10" s="96">
        <v>856.34</v>
      </c>
      <c r="G10" s="97" t="s">
        <v>89</v>
      </c>
      <c r="H10" s="96">
        <f>H8-F10</f>
        <v>3305.1500000000005</v>
      </c>
      <c r="I10" s="139"/>
      <c r="J10" s="86"/>
      <c r="K10" s="84"/>
      <c r="L10" s="84"/>
      <c r="M10" s="84"/>
      <c r="N10" s="84"/>
      <c r="O10" s="84"/>
      <c r="P10" s="84"/>
      <c r="Q10" s="85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</row>
    <row r="11" spans="1:30" ht="15.75" customHeight="1" x14ac:dyDescent="0.25">
      <c r="A11" s="121" t="s">
        <v>78</v>
      </c>
      <c r="B11" s="95" t="s">
        <v>20</v>
      </c>
      <c r="C11" s="97"/>
      <c r="D11" s="95"/>
      <c r="E11" s="95" t="s">
        <v>20</v>
      </c>
      <c r="F11" s="96">
        <v>90</v>
      </c>
      <c r="G11" s="97" t="s">
        <v>89</v>
      </c>
      <c r="H11" s="96">
        <f t="shared" ref="H11:H16" si="1">H10-F11</f>
        <v>3215.1500000000005</v>
      </c>
      <c r="I11" s="139"/>
      <c r="J11" s="86"/>
      <c r="K11" s="84"/>
      <c r="L11" s="84"/>
      <c r="M11" s="84"/>
      <c r="N11" s="84"/>
      <c r="O11" s="84"/>
      <c r="P11" s="84"/>
      <c r="Q11" s="85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</row>
    <row r="12" spans="1:30" ht="15.75" customHeight="1" x14ac:dyDescent="0.25">
      <c r="A12" s="121" t="s">
        <v>88</v>
      </c>
      <c r="B12" s="95" t="s">
        <v>20</v>
      </c>
      <c r="C12" s="95" t="s">
        <v>85</v>
      </c>
      <c r="D12" s="95" t="s">
        <v>20</v>
      </c>
      <c r="E12" s="95" t="s">
        <v>20</v>
      </c>
      <c r="F12" s="109">
        <v>150</v>
      </c>
      <c r="G12" s="97" t="s">
        <v>89</v>
      </c>
      <c r="H12" s="96">
        <f t="shared" si="1"/>
        <v>3065.1500000000005</v>
      </c>
      <c r="I12" s="139"/>
      <c r="J12" s="86"/>
      <c r="K12" s="84"/>
      <c r="L12" s="84"/>
      <c r="M12" s="84"/>
      <c r="N12" s="84"/>
      <c r="O12" s="84"/>
      <c r="P12" s="84"/>
      <c r="Q12" s="85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</row>
    <row r="13" spans="1:30" ht="15.75" customHeight="1" x14ac:dyDescent="0.25">
      <c r="A13" s="121" t="s">
        <v>79</v>
      </c>
      <c r="B13" s="95" t="s">
        <v>80</v>
      </c>
      <c r="C13" s="97" t="s">
        <v>81</v>
      </c>
      <c r="D13" s="95" t="s">
        <v>20</v>
      </c>
      <c r="E13" s="95" t="s">
        <v>82</v>
      </c>
      <c r="F13" s="96">
        <v>40.9</v>
      </c>
      <c r="G13" s="97" t="s">
        <v>89</v>
      </c>
      <c r="H13" s="96">
        <f t="shared" si="1"/>
        <v>3024.2500000000005</v>
      </c>
      <c r="I13" s="139"/>
      <c r="J13" s="86"/>
      <c r="K13" s="84"/>
      <c r="L13" s="84"/>
      <c r="M13" s="84"/>
      <c r="N13" s="84"/>
      <c r="O13" s="84"/>
      <c r="P13" s="84"/>
      <c r="Q13" s="85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</row>
    <row r="14" spans="1:30" ht="15.75" customHeight="1" x14ac:dyDescent="0.25">
      <c r="A14" s="121" t="s">
        <v>83</v>
      </c>
      <c r="B14" s="95" t="s">
        <v>84</v>
      </c>
      <c r="C14" s="95" t="s">
        <v>85</v>
      </c>
      <c r="D14" s="95" t="s">
        <v>20</v>
      </c>
      <c r="E14" s="97" t="s">
        <v>54</v>
      </c>
      <c r="F14" s="96">
        <v>100</v>
      </c>
      <c r="G14" s="97" t="s">
        <v>89</v>
      </c>
      <c r="H14" s="96">
        <f t="shared" si="1"/>
        <v>2924.2500000000005</v>
      </c>
      <c r="I14" s="139"/>
      <c r="J14" s="86"/>
      <c r="K14" s="84"/>
      <c r="L14" s="84"/>
      <c r="M14" s="84"/>
      <c r="N14" s="84"/>
      <c r="O14" s="84"/>
      <c r="P14" s="84"/>
      <c r="Q14" s="85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</row>
    <row r="15" spans="1:30" ht="15.75" customHeight="1" x14ac:dyDescent="0.25">
      <c r="A15" s="121" t="s">
        <v>118</v>
      </c>
      <c r="B15" s="95" t="s">
        <v>59</v>
      </c>
      <c r="C15" s="95" t="s">
        <v>85</v>
      </c>
      <c r="D15" s="95" t="s">
        <v>20</v>
      </c>
      <c r="E15" s="95" t="s">
        <v>20</v>
      </c>
      <c r="F15" s="109">
        <f>14*21</f>
        <v>294</v>
      </c>
      <c r="G15" s="97" t="s">
        <v>89</v>
      </c>
      <c r="H15" s="96">
        <f t="shared" si="1"/>
        <v>2630.2500000000005</v>
      </c>
      <c r="I15" s="139"/>
      <c r="J15" s="86"/>
      <c r="K15" s="84"/>
      <c r="L15" s="84"/>
      <c r="M15" s="84"/>
      <c r="N15" s="84"/>
      <c r="O15" s="84"/>
      <c r="P15" s="84"/>
      <c r="Q15" s="85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</row>
    <row r="16" spans="1:30" ht="15.75" customHeight="1" x14ac:dyDescent="0.25">
      <c r="A16" s="121" t="s">
        <v>86</v>
      </c>
      <c r="B16" s="95" t="s">
        <v>87</v>
      </c>
      <c r="C16" s="95" t="s">
        <v>85</v>
      </c>
      <c r="D16" s="95" t="s">
        <v>20</v>
      </c>
      <c r="E16" s="95" t="s">
        <v>20</v>
      </c>
      <c r="F16" s="109">
        <f>80*2</f>
        <v>160</v>
      </c>
      <c r="G16" s="97" t="s">
        <v>89</v>
      </c>
      <c r="H16" s="96">
        <f t="shared" si="1"/>
        <v>2470.2500000000005</v>
      </c>
      <c r="I16" s="139"/>
      <c r="J16" s="86"/>
      <c r="K16" s="84"/>
      <c r="L16" s="84"/>
      <c r="M16" s="84"/>
      <c r="N16" s="84"/>
      <c r="O16" s="84"/>
      <c r="P16" s="84"/>
      <c r="Q16" s="85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</row>
    <row r="17" spans="1:30" ht="15.75" customHeight="1" x14ac:dyDescent="0.25">
      <c r="A17" s="182" t="s">
        <v>168</v>
      </c>
      <c r="B17" s="183"/>
      <c r="C17" s="183"/>
      <c r="D17" s="183"/>
      <c r="E17" s="183"/>
      <c r="F17" s="183"/>
      <c r="G17" s="183"/>
      <c r="H17" s="183"/>
      <c r="I17" s="183"/>
      <c r="J17" s="86"/>
      <c r="K17" s="84"/>
      <c r="L17" s="84"/>
      <c r="M17" s="84"/>
      <c r="N17" s="84"/>
      <c r="O17" s="84"/>
      <c r="P17" s="84"/>
      <c r="Q17" s="85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</row>
    <row r="18" spans="1:30" ht="15.75" customHeight="1" x14ac:dyDescent="0.25">
      <c r="A18" s="167" t="s">
        <v>181</v>
      </c>
      <c r="B18" s="179"/>
      <c r="C18" s="179"/>
      <c r="D18" s="179"/>
      <c r="E18" s="179"/>
      <c r="F18" s="170">
        <f>SUM(F19:F24)</f>
        <v>812.71999999999991</v>
      </c>
      <c r="G18" s="168"/>
      <c r="H18" s="168"/>
      <c r="I18" s="168"/>
      <c r="J18" s="86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</row>
    <row r="19" spans="1:30" ht="15.75" customHeight="1" outlineLevel="1" x14ac:dyDescent="0.25">
      <c r="A19" s="121" t="s">
        <v>120</v>
      </c>
      <c r="B19" s="100"/>
      <c r="C19" s="100"/>
      <c r="D19" s="95" t="s">
        <v>20</v>
      </c>
      <c r="E19" s="100"/>
      <c r="F19" s="169">
        <v>0</v>
      </c>
      <c r="G19" s="101" t="s">
        <v>89</v>
      </c>
      <c r="H19" s="96">
        <f>H9-F19</f>
        <v>4061.5000000000009</v>
      </c>
      <c r="I19" s="102"/>
      <c r="J19" s="86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</row>
    <row r="20" spans="1:30" ht="15.75" customHeight="1" outlineLevel="1" x14ac:dyDescent="0.25">
      <c r="A20" s="121" t="s">
        <v>40</v>
      </c>
      <c r="B20" s="82"/>
      <c r="C20" s="82"/>
      <c r="D20" s="95" t="s">
        <v>124</v>
      </c>
      <c r="E20" s="82"/>
      <c r="F20" s="96">
        <v>286.81</v>
      </c>
      <c r="G20" s="82"/>
      <c r="H20" s="96">
        <f t="shared" ref="H20:H24" si="2">H19-F20</f>
        <v>3774.690000000001</v>
      </c>
      <c r="I20" s="102">
        <f>F20*10</f>
        <v>2868.1</v>
      </c>
      <c r="J20" s="85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</row>
    <row r="21" spans="1:30" ht="15.75" customHeight="1" outlineLevel="1" x14ac:dyDescent="0.25">
      <c r="A21" s="121" t="s">
        <v>42</v>
      </c>
      <c r="B21" s="82"/>
      <c r="C21" s="82"/>
      <c r="D21" s="95" t="s">
        <v>138</v>
      </c>
      <c r="E21" s="82"/>
      <c r="F21" s="96">
        <v>375</v>
      </c>
      <c r="G21" s="82"/>
      <c r="H21" s="96">
        <f t="shared" si="2"/>
        <v>3399.690000000001</v>
      </c>
      <c r="I21" s="102">
        <f>F21*2</f>
        <v>750</v>
      </c>
      <c r="J21" s="85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</row>
    <row r="22" spans="1:30" ht="15.75" customHeight="1" outlineLevel="1" x14ac:dyDescent="0.25">
      <c r="A22" s="121" t="s">
        <v>45</v>
      </c>
      <c r="B22" s="82"/>
      <c r="C22" s="82"/>
      <c r="D22" s="95" t="s">
        <v>43</v>
      </c>
      <c r="E22" s="82"/>
      <c r="F22" s="96">
        <v>59.02</v>
      </c>
      <c r="G22" s="82"/>
      <c r="H22" s="96">
        <f t="shared" si="2"/>
        <v>3340.670000000001</v>
      </c>
      <c r="I22" s="102">
        <f>F22*4</f>
        <v>236.08</v>
      </c>
      <c r="J22" s="85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</row>
    <row r="23" spans="1:30" ht="15.75" customHeight="1" outlineLevel="1" x14ac:dyDescent="0.25">
      <c r="A23" s="121" t="s">
        <v>47</v>
      </c>
      <c r="B23" s="82"/>
      <c r="C23" s="82"/>
      <c r="D23" s="95" t="s">
        <v>123</v>
      </c>
      <c r="E23" s="82"/>
      <c r="F23" s="96">
        <v>40.75</v>
      </c>
      <c r="G23" s="82"/>
      <c r="H23" s="96">
        <f t="shared" si="2"/>
        <v>3299.920000000001</v>
      </c>
      <c r="I23" s="102">
        <f>F23*5</f>
        <v>203.75</v>
      </c>
      <c r="J23" s="85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</row>
    <row r="24" spans="1:30" ht="15.75" customHeight="1" outlineLevel="1" x14ac:dyDescent="0.25">
      <c r="A24" s="121" t="s">
        <v>49</v>
      </c>
      <c r="B24" s="83"/>
      <c r="C24" s="83"/>
      <c r="D24" s="95" t="s">
        <v>139</v>
      </c>
      <c r="E24" s="83"/>
      <c r="F24" s="147">
        <v>51.14</v>
      </c>
      <c r="G24" s="83"/>
      <c r="H24" s="96">
        <f t="shared" si="2"/>
        <v>3248.7800000000011</v>
      </c>
      <c r="I24" s="102">
        <f>F24*2</f>
        <v>102.28</v>
      </c>
      <c r="J24" s="85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</row>
    <row r="25" spans="1:30" ht="15.75" customHeight="1" x14ac:dyDescent="0.25">
      <c r="A25" s="171" t="s">
        <v>174</v>
      </c>
      <c r="B25" s="172"/>
      <c r="C25" s="172"/>
      <c r="D25" s="172"/>
      <c r="E25" s="172"/>
      <c r="F25" s="187">
        <f>SUM(F26:F27)</f>
        <v>59.67</v>
      </c>
      <c r="G25" s="172"/>
      <c r="H25" s="172"/>
      <c r="I25" s="172"/>
      <c r="J25" s="85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</row>
    <row r="26" spans="1:30" ht="15.75" customHeight="1" outlineLevel="1" x14ac:dyDescent="0.25">
      <c r="A26" s="121" t="s">
        <v>51</v>
      </c>
      <c r="B26" s="100" t="s">
        <v>52</v>
      </c>
      <c r="C26" s="100" t="s">
        <v>39</v>
      </c>
      <c r="D26" s="95" t="s">
        <v>140</v>
      </c>
      <c r="E26" s="100" t="s">
        <v>54</v>
      </c>
      <c r="F26" s="169">
        <v>33.67</v>
      </c>
      <c r="G26" s="101" t="s">
        <v>89</v>
      </c>
      <c r="H26" s="96">
        <f>H24-F26</f>
        <v>3215.110000000001</v>
      </c>
      <c r="I26" s="103">
        <f t="shared" ref="I26:I27" si="3">F26*9</f>
        <v>303.03000000000003</v>
      </c>
      <c r="J26" s="85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</row>
    <row r="27" spans="1:30" ht="15.75" customHeight="1" outlineLevel="1" x14ac:dyDescent="0.25">
      <c r="A27" s="121" t="s">
        <v>55</v>
      </c>
      <c r="B27" s="83"/>
      <c r="C27" s="83"/>
      <c r="D27" s="95" t="s">
        <v>140</v>
      </c>
      <c r="E27" s="83"/>
      <c r="F27" s="147">
        <v>26</v>
      </c>
      <c r="G27" s="83"/>
      <c r="H27" s="96">
        <f>H26-F27</f>
        <v>3189.110000000001</v>
      </c>
      <c r="I27" s="103">
        <f t="shared" si="3"/>
        <v>234</v>
      </c>
      <c r="J27" s="85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</row>
    <row r="28" spans="1:30" ht="15.75" customHeight="1" x14ac:dyDescent="0.25">
      <c r="A28" s="173" t="s">
        <v>175</v>
      </c>
      <c r="B28" s="174"/>
      <c r="C28" s="174"/>
      <c r="D28" s="174"/>
      <c r="E28" s="174"/>
      <c r="F28" s="188">
        <f>F29</f>
        <v>59.95</v>
      </c>
      <c r="G28" s="174"/>
      <c r="H28" s="174"/>
      <c r="I28" s="174"/>
      <c r="J28" s="85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</row>
    <row r="29" spans="1:30" ht="15.75" customHeight="1" outlineLevel="1" x14ac:dyDescent="0.25">
      <c r="A29" s="121" t="s">
        <v>141</v>
      </c>
      <c r="B29" s="95" t="s">
        <v>57</v>
      </c>
      <c r="C29" s="95" t="s">
        <v>39</v>
      </c>
      <c r="D29" s="95" t="s">
        <v>20</v>
      </c>
      <c r="E29" s="95" t="s">
        <v>54</v>
      </c>
      <c r="F29" s="184">
        <v>59.95</v>
      </c>
      <c r="G29" s="97" t="s">
        <v>89</v>
      </c>
      <c r="H29" s="96">
        <f>H27-F29</f>
        <v>3129.1600000000012</v>
      </c>
      <c r="I29" s="104"/>
      <c r="J29" s="85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</row>
    <row r="30" spans="1:30" ht="15.75" customHeight="1" x14ac:dyDescent="0.25">
      <c r="A30" s="167" t="s">
        <v>176</v>
      </c>
      <c r="B30" s="168"/>
      <c r="C30" s="168"/>
      <c r="D30" s="168"/>
      <c r="E30" s="168"/>
      <c r="F30" s="189">
        <f>SUM(F31:F39)</f>
        <v>677.65000000000009</v>
      </c>
      <c r="G30" s="168"/>
      <c r="H30" s="168"/>
      <c r="I30" s="168"/>
      <c r="J30" s="85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</row>
    <row r="31" spans="1:30" ht="15.75" customHeight="1" outlineLevel="1" x14ac:dyDescent="0.25">
      <c r="A31" s="121" t="s">
        <v>120</v>
      </c>
      <c r="B31" s="100" t="s">
        <v>125</v>
      </c>
      <c r="C31" s="100" t="s">
        <v>126</v>
      </c>
      <c r="D31" s="95" t="s">
        <v>20</v>
      </c>
      <c r="E31" s="100"/>
      <c r="F31" s="169">
        <v>0</v>
      </c>
      <c r="G31" s="101" t="s">
        <v>89</v>
      </c>
      <c r="H31" s="96">
        <f>H29-F31</f>
        <v>3129.1600000000012</v>
      </c>
      <c r="I31" s="105"/>
      <c r="J31" s="85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</row>
    <row r="32" spans="1:30" ht="15.75" customHeight="1" outlineLevel="1" x14ac:dyDescent="0.25">
      <c r="A32" s="121" t="s">
        <v>60</v>
      </c>
      <c r="B32" s="82"/>
      <c r="C32" s="82"/>
      <c r="D32" s="95" t="s">
        <v>124</v>
      </c>
      <c r="E32" s="82"/>
      <c r="F32" s="96">
        <v>25.98</v>
      </c>
      <c r="G32" s="82"/>
      <c r="H32" s="96">
        <f t="shared" ref="H32:H39" si="4">H31-F32</f>
        <v>3103.1800000000012</v>
      </c>
      <c r="I32" s="105">
        <f>F32*10</f>
        <v>259.8</v>
      </c>
      <c r="J32" s="85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</row>
    <row r="33" spans="1:30" ht="15.75" customHeight="1" outlineLevel="1" x14ac:dyDescent="0.25">
      <c r="A33" s="121" t="s">
        <v>61</v>
      </c>
      <c r="B33" s="82"/>
      <c r="C33" s="82"/>
      <c r="D33" s="95" t="s">
        <v>142</v>
      </c>
      <c r="E33" s="82"/>
      <c r="F33" s="96">
        <v>143</v>
      </c>
      <c r="G33" s="82"/>
      <c r="H33" s="96">
        <f t="shared" si="4"/>
        <v>2960.1800000000012</v>
      </c>
      <c r="I33" s="105">
        <f>F33*3</f>
        <v>429</v>
      </c>
      <c r="J33" s="85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</row>
    <row r="34" spans="1:30" ht="15.75" customHeight="1" outlineLevel="1" x14ac:dyDescent="0.25">
      <c r="A34" s="121" t="s">
        <v>62</v>
      </c>
      <c r="B34" s="82"/>
      <c r="C34" s="82"/>
      <c r="D34" s="95" t="s">
        <v>124</v>
      </c>
      <c r="E34" s="82"/>
      <c r="F34" s="96">
        <v>133.37</v>
      </c>
      <c r="G34" s="82"/>
      <c r="H34" s="96">
        <f t="shared" si="4"/>
        <v>2826.8100000000013</v>
      </c>
      <c r="I34" s="105">
        <f>F34*10</f>
        <v>1333.7</v>
      </c>
      <c r="J34" s="85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</row>
    <row r="35" spans="1:30" ht="15.75" customHeight="1" outlineLevel="1" x14ac:dyDescent="0.25">
      <c r="A35" s="121" t="s">
        <v>63</v>
      </c>
      <c r="B35" s="82"/>
      <c r="C35" s="82"/>
      <c r="D35" s="95" t="s">
        <v>123</v>
      </c>
      <c r="E35" s="82"/>
      <c r="F35" s="96">
        <v>133.33000000000001</v>
      </c>
      <c r="G35" s="82"/>
      <c r="H35" s="96">
        <f t="shared" si="4"/>
        <v>2693.4800000000014</v>
      </c>
      <c r="I35" s="105">
        <f>F35*5</f>
        <v>666.65000000000009</v>
      </c>
      <c r="J35" s="85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</row>
    <row r="36" spans="1:30" ht="15.75" customHeight="1" outlineLevel="1" x14ac:dyDescent="0.25">
      <c r="A36" s="121" t="s">
        <v>64</v>
      </c>
      <c r="B36" s="82"/>
      <c r="C36" s="82"/>
      <c r="D36" s="95" t="s">
        <v>143</v>
      </c>
      <c r="E36" s="82"/>
      <c r="F36" s="96">
        <v>15.52</v>
      </c>
      <c r="G36" s="82"/>
      <c r="H36" s="96">
        <f t="shared" si="4"/>
        <v>2677.9600000000014</v>
      </c>
      <c r="I36" s="105">
        <f>F36*3</f>
        <v>46.56</v>
      </c>
      <c r="J36" s="85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</row>
    <row r="37" spans="1:30" ht="15.75" customHeight="1" outlineLevel="1" x14ac:dyDescent="0.25">
      <c r="A37" s="121" t="s">
        <v>65</v>
      </c>
      <c r="B37" s="82"/>
      <c r="C37" s="82"/>
      <c r="D37" s="95" t="s">
        <v>123</v>
      </c>
      <c r="E37" s="82"/>
      <c r="F37" s="96">
        <v>57.99</v>
      </c>
      <c r="G37" s="82"/>
      <c r="H37" s="96">
        <f t="shared" si="4"/>
        <v>2619.9700000000016</v>
      </c>
      <c r="I37" s="105">
        <f>F37*5</f>
        <v>289.95</v>
      </c>
      <c r="J37" s="85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</row>
    <row r="38" spans="1:30" ht="15.75" customHeight="1" outlineLevel="1" x14ac:dyDescent="0.25">
      <c r="A38" s="121" t="s">
        <v>66</v>
      </c>
      <c r="B38" s="82"/>
      <c r="C38" s="82"/>
      <c r="D38" s="95" t="s">
        <v>123</v>
      </c>
      <c r="E38" s="82"/>
      <c r="F38" s="96">
        <v>16.62</v>
      </c>
      <c r="G38" s="82"/>
      <c r="H38" s="96">
        <f t="shared" si="4"/>
        <v>2603.3500000000017</v>
      </c>
      <c r="I38" s="105">
        <f>F38+5</f>
        <v>21.62</v>
      </c>
      <c r="J38" s="85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</row>
    <row r="39" spans="1:30" ht="15.75" customHeight="1" outlineLevel="1" x14ac:dyDescent="0.25">
      <c r="A39" s="121" t="s">
        <v>67</v>
      </c>
      <c r="B39" s="83"/>
      <c r="C39" s="83"/>
      <c r="D39" s="95" t="s">
        <v>121</v>
      </c>
      <c r="E39" s="83"/>
      <c r="F39" s="147">
        <v>151.84</v>
      </c>
      <c r="G39" s="83"/>
      <c r="H39" s="96">
        <f t="shared" si="4"/>
        <v>2451.5100000000016</v>
      </c>
      <c r="I39" s="105">
        <f>F39*1</f>
        <v>151.84</v>
      </c>
      <c r="J39" s="85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</row>
    <row r="40" spans="1:30" ht="15.75" customHeight="1" x14ac:dyDescent="0.25">
      <c r="A40" s="175" t="s">
        <v>177</v>
      </c>
      <c r="B40" s="176"/>
      <c r="C40" s="176"/>
      <c r="D40" s="176"/>
      <c r="E40" s="176"/>
      <c r="F40" s="190">
        <f>SUM(F41:F44)</f>
        <v>285.14</v>
      </c>
      <c r="G40" s="176"/>
      <c r="H40" s="176"/>
      <c r="I40" s="176"/>
      <c r="J40" s="85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</row>
    <row r="41" spans="1:30" ht="15.75" customHeight="1" outlineLevel="1" x14ac:dyDescent="0.3">
      <c r="A41" s="121" t="s">
        <v>120</v>
      </c>
      <c r="B41" s="100" t="s">
        <v>70</v>
      </c>
      <c r="C41" s="100" t="s">
        <v>39</v>
      </c>
      <c r="D41" s="106" t="s">
        <v>20</v>
      </c>
      <c r="E41" s="100" t="s">
        <v>54</v>
      </c>
      <c r="F41" s="185">
        <v>0</v>
      </c>
      <c r="G41" s="101" t="s">
        <v>89</v>
      </c>
      <c r="H41" s="107">
        <f>H39-F41</f>
        <v>2451.5100000000016</v>
      </c>
      <c r="I41" s="108">
        <f t="shared" ref="I41:I42" si="5">F41*8</f>
        <v>0</v>
      </c>
      <c r="J41" s="87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</row>
    <row r="42" spans="1:30" ht="15.75" customHeight="1" outlineLevel="1" x14ac:dyDescent="0.25">
      <c r="A42" s="121" t="s">
        <v>69</v>
      </c>
      <c r="B42" s="82"/>
      <c r="C42" s="82"/>
      <c r="D42" s="95" t="s">
        <v>144</v>
      </c>
      <c r="E42" s="82"/>
      <c r="F42" s="96">
        <v>81.66</v>
      </c>
      <c r="G42" s="82"/>
      <c r="H42" s="96">
        <f t="shared" ref="H42:H44" si="6">H41-F42</f>
        <v>2369.8500000000017</v>
      </c>
      <c r="I42" s="104">
        <f t="shared" si="5"/>
        <v>653.28</v>
      </c>
      <c r="J42" s="85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</row>
    <row r="43" spans="1:30" ht="15.75" customHeight="1" outlineLevel="1" x14ac:dyDescent="0.25">
      <c r="A43" s="121" t="s">
        <v>65</v>
      </c>
      <c r="B43" s="82"/>
      <c r="C43" s="82"/>
      <c r="D43" s="95" t="s">
        <v>123</v>
      </c>
      <c r="E43" s="82"/>
      <c r="F43" s="96">
        <v>57.99</v>
      </c>
      <c r="G43" s="82"/>
      <c r="H43" s="96">
        <f t="shared" si="6"/>
        <v>2311.8600000000019</v>
      </c>
      <c r="I43" s="104">
        <f>F43*5</f>
        <v>289.95</v>
      </c>
      <c r="J43" s="85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</row>
    <row r="44" spans="1:30" ht="15.75" customHeight="1" outlineLevel="1" x14ac:dyDescent="0.25">
      <c r="A44" s="121" t="s">
        <v>71</v>
      </c>
      <c r="B44" s="83"/>
      <c r="C44" s="83"/>
      <c r="D44" s="95" t="s">
        <v>124</v>
      </c>
      <c r="E44" s="83"/>
      <c r="F44" s="147">
        <v>145.49</v>
      </c>
      <c r="G44" s="83"/>
      <c r="H44" s="96">
        <f t="shared" si="6"/>
        <v>2166.3700000000017</v>
      </c>
      <c r="I44" s="104">
        <f>F44*10</f>
        <v>1454.9</v>
      </c>
      <c r="J44" s="85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</row>
    <row r="45" spans="1:30" ht="15.75" customHeight="1" x14ac:dyDescent="0.25">
      <c r="A45" s="177" t="s">
        <v>178</v>
      </c>
      <c r="B45" s="178"/>
      <c r="C45" s="178"/>
      <c r="D45" s="178"/>
      <c r="E45" s="178"/>
      <c r="F45" s="191">
        <f>SUM(F46:F55)</f>
        <v>270.17</v>
      </c>
      <c r="G45" s="178"/>
      <c r="H45" s="178"/>
      <c r="I45" s="178"/>
      <c r="J45" s="85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</row>
    <row r="46" spans="1:30" ht="15.75" customHeight="1" outlineLevel="1" x14ac:dyDescent="0.25">
      <c r="A46" s="121" t="s">
        <v>127</v>
      </c>
      <c r="B46" s="100" t="s">
        <v>73</v>
      </c>
      <c r="C46" s="100" t="s">
        <v>39</v>
      </c>
      <c r="D46" s="95" t="s">
        <v>124</v>
      </c>
      <c r="E46" s="100" t="s">
        <v>74</v>
      </c>
      <c r="F46" s="186">
        <v>68.42</v>
      </c>
      <c r="G46" s="101" t="s">
        <v>89</v>
      </c>
      <c r="H46" s="96">
        <f>H44-F46</f>
        <v>2097.9500000000016</v>
      </c>
      <c r="I46" s="104">
        <f t="shared" ref="I46:I48" si="7">F46*10</f>
        <v>684.2</v>
      </c>
      <c r="J46" s="85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</row>
    <row r="47" spans="1:30" ht="15.75" customHeight="1" outlineLevel="1" x14ac:dyDescent="0.25">
      <c r="A47" s="121" t="s">
        <v>128</v>
      </c>
      <c r="B47" s="82"/>
      <c r="C47" s="82"/>
      <c r="D47" s="95" t="s">
        <v>124</v>
      </c>
      <c r="E47" s="82"/>
      <c r="F47" s="109">
        <v>40.68</v>
      </c>
      <c r="G47" s="82"/>
      <c r="H47" s="96">
        <f t="shared" ref="H47:H55" si="8">H46-F47</f>
        <v>2057.2700000000018</v>
      </c>
      <c r="I47" s="104">
        <f t="shared" si="7"/>
        <v>406.8</v>
      </c>
      <c r="J47" s="85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</row>
    <row r="48" spans="1:30" ht="15.75" customHeight="1" outlineLevel="1" x14ac:dyDescent="0.25">
      <c r="A48" s="121" t="s">
        <v>129</v>
      </c>
      <c r="B48" s="82"/>
      <c r="C48" s="82"/>
      <c r="D48" s="95" t="s">
        <v>145</v>
      </c>
      <c r="E48" s="82"/>
      <c r="F48" s="109">
        <v>27.12</v>
      </c>
      <c r="G48" s="82"/>
      <c r="H48" s="96">
        <f t="shared" si="8"/>
        <v>2030.1500000000019</v>
      </c>
      <c r="I48" s="104">
        <f t="shared" si="7"/>
        <v>271.2</v>
      </c>
      <c r="J48" s="85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</row>
    <row r="49" spans="1:30" ht="15.75" customHeight="1" outlineLevel="1" x14ac:dyDescent="0.25">
      <c r="A49" s="121" t="s">
        <v>130</v>
      </c>
      <c r="B49" s="82"/>
      <c r="C49" s="82"/>
      <c r="D49" s="95" t="s">
        <v>44</v>
      </c>
      <c r="E49" s="82"/>
      <c r="F49" s="109">
        <v>9.1</v>
      </c>
      <c r="G49" s="82"/>
      <c r="H49" s="96">
        <f t="shared" si="8"/>
        <v>2021.050000000002</v>
      </c>
      <c r="I49" s="104">
        <f>F49*1</f>
        <v>9.1</v>
      </c>
      <c r="J49" s="85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</row>
    <row r="50" spans="1:30" ht="15.75" customHeight="1" outlineLevel="1" x14ac:dyDescent="0.25">
      <c r="A50" s="121" t="s">
        <v>131</v>
      </c>
      <c r="B50" s="82"/>
      <c r="C50" s="82"/>
      <c r="D50" s="95" t="s">
        <v>41</v>
      </c>
      <c r="E50" s="82"/>
      <c r="F50" s="109">
        <v>9.6199999999999992</v>
      </c>
      <c r="G50" s="82"/>
      <c r="H50" s="96">
        <f t="shared" si="8"/>
        <v>2011.4300000000021</v>
      </c>
      <c r="I50" s="104">
        <f>F50*2</f>
        <v>19.239999999999998</v>
      </c>
      <c r="J50" s="85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</row>
    <row r="51" spans="1:30" ht="15.75" customHeight="1" outlineLevel="1" x14ac:dyDescent="0.25">
      <c r="A51" s="121" t="s">
        <v>132</v>
      </c>
      <c r="B51" s="82"/>
      <c r="C51" s="82"/>
      <c r="D51" s="95" t="s">
        <v>146</v>
      </c>
      <c r="E51" s="82"/>
      <c r="F51" s="109">
        <v>7.56</v>
      </c>
      <c r="G51" s="82"/>
      <c r="H51" s="96">
        <f t="shared" si="8"/>
        <v>2003.8700000000022</v>
      </c>
      <c r="I51" s="104">
        <f>F51*3</f>
        <v>22.68</v>
      </c>
      <c r="J51" s="85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</row>
    <row r="52" spans="1:30" ht="15.75" customHeight="1" outlineLevel="1" x14ac:dyDescent="0.25">
      <c r="A52" s="121" t="s">
        <v>133</v>
      </c>
      <c r="B52" s="82"/>
      <c r="C52" s="82"/>
      <c r="D52" s="95" t="s">
        <v>41</v>
      </c>
      <c r="E52" s="82"/>
      <c r="F52" s="109">
        <v>6.68</v>
      </c>
      <c r="G52" s="82"/>
      <c r="H52" s="96">
        <f t="shared" si="8"/>
        <v>1997.1900000000021</v>
      </c>
      <c r="I52" s="104">
        <f t="shared" ref="I52:I53" si="9">F52*2</f>
        <v>13.36</v>
      </c>
      <c r="J52" s="85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</row>
    <row r="53" spans="1:30" ht="15.75" customHeight="1" outlineLevel="1" x14ac:dyDescent="0.25">
      <c r="A53" s="121" t="s">
        <v>134</v>
      </c>
      <c r="B53" s="82"/>
      <c r="C53" s="82"/>
      <c r="D53" s="95" t="s">
        <v>41</v>
      </c>
      <c r="E53" s="82"/>
      <c r="F53" s="109">
        <v>26.05</v>
      </c>
      <c r="G53" s="82"/>
      <c r="H53" s="96">
        <f t="shared" si="8"/>
        <v>1971.1400000000021</v>
      </c>
      <c r="I53" s="104">
        <f t="shared" si="9"/>
        <v>52.1</v>
      </c>
      <c r="J53" s="85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</row>
    <row r="54" spans="1:30" ht="15.75" customHeight="1" outlineLevel="1" x14ac:dyDescent="0.25">
      <c r="A54" s="121" t="s">
        <v>135</v>
      </c>
      <c r="B54" s="82"/>
      <c r="C54" s="82"/>
      <c r="D54" s="95" t="s">
        <v>147</v>
      </c>
      <c r="E54" s="82"/>
      <c r="F54" s="109">
        <v>17.079999999999998</v>
      </c>
      <c r="G54" s="82"/>
      <c r="H54" s="96">
        <f t="shared" si="8"/>
        <v>1954.0600000000022</v>
      </c>
      <c r="I54" s="104">
        <f>F54*0</f>
        <v>0</v>
      </c>
      <c r="J54" s="85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</row>
    <row r="55" spans="1:30" ht="15.75" customHeight="1" outlineLevel="1" x14ac:dyDescent="0.25">
      <c r="A55" s="121" t="s">
        <v>136</v>
      </c>
      <c r="B55" s="83"/>
      <c r="C55" s="83"/>
      <c r="D55" s="95" t="s">
        <v>53</v>
      </c>
      <c r="E55" s="83"/>
      <c r="F55" s="109">
        <v>57.86</v>
      </c>
      <c r="G55" s="83"/>
      <c r="H55" s="96">
        <f t="shared" si="8"/>
        <v>1896.2000000000023</v>
      </c>
      <c r="I55" s="104">
        <f>F55*10</f>
        <v>578.6</v>
      </c>
      <c r="J55" s="85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</row>
    <row r="56" spans="1:30" ht="15.75" customHeight="1" x14ac:dyDescent="0.25">
      <c r="A56" s="180" t="s">
        <v>180</v>
      </c>
      <c r="B56" s="181"/>
      <c r="C56" s="181"/>
      <c r="D56" s="181"/>
      <c r="E56" s="181"/>
      <c r="F56" s="181"/>
      <c r="G56" s="181"/>
      <c r="H56" s="181"/>
      <c r="I56" s="181"/>
      <c r="J56" s="85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</row>
    <row r="57" spans="1:30" ht="15.75" customHeight="1" x14ac:dyDescent="0.25">
      <c r="A57" s="121" t="s">
        <v>91</v>
      </c>
      <c r="B57" s="95" t="s">
        <v>92</v>
      </c>
      <c r="C57" s="95" t="s">
        <v>85</v>
      </c>
      <c r="D57" s="95" t="s">
        <v>20</v>
      </c>
      <c r="E57" s="95" t="s">
        <v>20</v>
      </c>
      <c r="F57" s="96">
        <v>0</v>
      </c>
      <c r="G57" s="97" t="s">
        <v>89</v>
      </c>
      <c r="H57" s="96" t="e">
        <f>#REF!-F57</f>
        <v>#REF!</v>
      </c>
      <c r="I57" s="98"/>
      <c r="J57" s="85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</row>
    <row r="58" spans="1:30" ht="15.75" customHeight="1" x14ac:dyDescent="0.25">
      <c r="A58" s="121" t="s">
        <v>93</v>
      </c>
      <c r="B58" s="95" t="s">
        <v>59</v>
      </c>
      <c r="C58" s="95" t="s">
        <v>85</v>
      </c>
      <c r="D58" s="95" t="s">
        <v>20</v>
      </c>
      <c r="E58" s="95" t="s">
        <v>20</v>
      </c>
      <c r="F58" s="96">
        <v>0</v>
      </c>
      <c r="G58" s="97" t="s">
        <v>89</v>
      </c>
      <c r="H58" s="96" t="e">
        <f t="shared" ref="H58:H60" si="10">H57-F58</f>
        <v>#REF!</v>
      </c>
      <c r="I58" s="98"/>
      <c r="J58" s="85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</row>
    <row r="59" spans="1:30" ht="15.75" customHeight="1" x14ac:dyDescent="0.25">
      <c r="A59" s="157" t="s">
        <v>94</v>
      </c>
      <c r="B59" s="146" t="s">
        <v>95</v>
      </c>
      <c r="C59" s="146" t="s">
        <v>85</v>
      </c>
      <c r="D59" s="146" t="s">
        <v>20</v>
      </c>
      <c r="E59" s="146" t="s">
        <v>20</v>
      </c>
      <c r="F59" s="147">
        <v>0</v>
      </c>
      <c r="G59" s="148" t="s">
        <v>89</v>
      </c>
      <c r="H59" s="147" t="e">
        <f t="shared" si="10"/>
        <v>#REF!</v>
      </c>
      <c r="I59" s="145"/>
      <c r="J59" s="85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</row>
    <row r="60" spans="1:30" ht="15.75" customHeight="1" x14ac:dyDescent="0.25">
      <c r="A60" s="158" t="s">
        <v>96</v>
      </c>
      <c r="B60" s="159" t="s">
        <v>20</v>
      </c>
      <c r="C60" s="159" t="s">
        <v>85</v>
      </c>
      <c r="D60" s="159" t="s">
        <v>20</v>
      </c>
      <c r="E60" s="159" t="s">
        <v>20</v>
      </c>
      <c r="F60" s="160">
        <v>0</v>
      </c>
      <c r="G60" s="161" t="s">
        <v>89</v>
      </c>
      <c r="H60" s="160" t="e">
        <f t="shared" si="10"/>
        <v>#REF!</v>
      </c>
      <c r="I60" s="162"/>
      <c r="J60" s="85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</row>
    <row r="61" spans="1:30" ht="15.75" customHeight="1" x14ac:dyDescent="0.25">
      <c r="A61" s="163" t="s">
        <v>97</v>
      </c>
      <c r="B61" s="164"/>
      <c r="C61" s="164"/>
      <c r="D61" s="164"/>
      <c r="E61" s="164"/>
      <c r="F61" s="165" t="e">
        <f>H59</f>
        <v>#REF!</v>
      </c>
      <c r="G61" s="162"/>
      <c r="H61" s="162"/>
      <c r="I61" s="166">
        <f>I20+I21+I22+I23+I24+I26+I27+I32+I33+I34+I35+I36+I37+I38+I39+I42+I43+I44+I46+I47+I48+I49+I50+I51+I52+I53+I54+I55</f>
        <v>12351.770000000002</v>
      </c>
      <c r="J61" s="85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</row>
    <row r="62" spans="1:30" ht="15.75" customHeight="1" thickBot="1" x14ac:dyDescent="0.3">
      <c r="A62" s="154"/>
      <c r="B62" s="155"/>
      <c r="C62" s="155"/>
      <c r="D62" s="156"/>
      <c r="E62" s="149"/>
      <c r="F62" s="90"/>
      <c r="G62" s="90"/>
      <c r="H62" s="90"/>
      <c r="I62" s="90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</row>
    <row r="63" spans="1:30" ht="15.75" customHeight="1" thickTop="1" x14ac:dyDescent="0.25">
      <c r="A63" s="133" t="s">
        <v>98</v>
      </c>
      <c r="B63" s="140"/>
      <c r="C63" s="134" t="e">
        <f>F61</f>
        <v>#REF!</v>
      </c>
      <c r="D63" s="136" t="s">
        <v>99</v>
      </c>
      <c r="E63" s="85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</row>
    <row r="64" spans="1:30" ht="15.75" customHeight="1" x14ac:dyDescent="0.25">
      <c r="A64" s="141" t="s">
        <v>169</v>
      </c>
      <c r="B64" s="142"/>
      <c r="C64" s="142"/>
      <c r="D64" s="143"/>
      <c r="E64" s="85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</row>
    <row r="65" spans="1:30" ht="15.75" customHeight="1" x14ac:dyDescent="0.25">
      <c r="A65" s="121" t="s">
        <v>101</v>
      </c>
      <c r="B65" s="110">
        <v>0</v>
      </c>
      <c r="C65" s="110" t="e">
        <f>C63-B65</f>
        <v>#REF!</v>
      </c>
      <c r="D65" s="137" t="b">
        <v>0</v>
      </c>
      <c r="E65" s="85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</row>
    <row r="66" spans="1:30" ht="15.75" customHeight="1" x14ac:dyDescent="0.25">
      <c r="A66" s="121" t="s">
        <v>102</v>
      </c>
      <c r="B66" s="110">
        <v>0</v>
      </c>
      <c r="C66" s="110" t="e">
        <f>C65-B66</f>
        <v>#REF!</v>
      </c>
      <c r="D66" s="137" t="b">
        <v>0</v>
      </c>
      <c r="E66" s="85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</row>
    <row r="67" spans="1:30" ht="15.75" customHeight="1" x14ac:dyDescent="0.25">
      <c r="A67" s="141" t="s">
        <v>170</v>
      </c>
      <c r="B67" s="142"/>
      <c r="C67" s="142"/>
      <c r="D67" s="143"/>
      <c r="E67" s="85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</row>
    <row r="68" spans="1:30" ht="15.75" customHeight="1" x14ac:dyDescent="0.25">
      <c r="A68" s="121" t="s">
        <v>104</v>
      </c>
      <c r="B68" s="110">
        <v>0</v>
      </c>
      <c r="C68" s="110">
        <f>C67-B68</f>
        <v>0</v>
      </c>
      <c r="D68" s="137" t="b">
        <v>0</v>
      </c>
      <c r="E68" s="85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</row>
    <row r="69" spans="1:30" ht="15.75" customHeight="1" x14ac:dyDescent="0.25">
      <c r="A69" s="121" t="s">
        <v>105</v>
      </c>
      <c r="B69" s="110">
        <v>0</v>
      </c>
      <c r="C69" s="110">
        <f>C67-B69</f>
        <v>0</v>
      </c>
      <c r="D69" s="137" t="b">
        <v>0</v>
      </c>
      <c r="E69" s="85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</row>
    <row r="70" spans="1:30" ht="15.75" customHeight="1" x14ac:dyDescent="0.25">
      <c r="A70" s="141" t="s">
        <v>171</v>
      </c>
      <c r="B70" s="142"/>
      <c r="C70" s="142"/>
      <c r="D70" s="143"/>
      <c r="E70" s="85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</row>
    <row r="71" spans="1:30" ht="15.75" customHeight="1" x14ac:dyDescent="0.25">
      <c r="A71" s="121" t="s">
        <v>107</v>
      </c>
      <c r="B71" s="110">
        <v>0</v>
      </c>
      <c r="C71" s="110">
        <f>C69-B71</f>
        <v>0</v>
      </c>
      <c r="D71" s="137" t="b">
        <v>0</v>
      </c>
      <c r="E71" s="85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</row>
    <row r="72" spans="1:30" ht="15.75" customHeight="1" x14ac:dyDescent="0.25">
      <c r="A72" s="121" t="s">
        <v>108</v>
      </c>
      <c r="B72" s="110">
        <v>0</v>
      </c>
      <c r="C72" s="110">
        <f>C71-B72</f>
        <v>0</v>
      </c>
      <c r="D72" s="137" t="b">
        <v>0</v>
      </c>
      <c r="E72" s="85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</row>
    <row r="73" spans="1:30" ht="15.75" customHeight="1" x14ac:dyDescent="0.25">
      <c r="A73" s="141" t="s">
        <v>172</v>
      </c>
      <c r="B73" s="142"/>
      <c r="C73" s="142"/>
      <c r="D73" s="143"/>
      <c r="E73" s="85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</row>
    <row r="74" spans="1:30" ht="15.75" customHeight="1" x14ac:dyDescent="0.25">
      <c r="A74" s="121" t="s">
        <v>110</v>
      </c>
      <c r="B74" s="110">
        <v>0</v>
      </c>
      <c r="C74" s="110">
        <f>C73-B74</f>
        <v>0</v>
      </c>
      <c r="D74" s="137" t="b">
        <v>0</v>
      </c>
      <c r="E74" s="85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</row>
    <row r="75" spans="1:30" ht="15.75" customHeight="1" x14ac:dyDescent="0.25">
      <c r="A75" s="121" t="s">
        <v>111</v>
      </c>
      <c r="B75" s="110">
        <v>0</v>
      </c>
      <c r="C75" s="110">
        <f>C73-B75</f>
        <v>0</v>
      </c>
      <c r="D75" s="137" t="b">
        <v>0</v>
      </c>
      <c r="E75" s="85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</row>
    <row r="76" spans="1:30" ht="15.75" customHeight="1" x14ac:dyDescent="0.25">
      <c r="A76" s="121" t="s">
        <v>112</v>
      </c>
      <c r="B76" s="110">
        <v>0</v>
      </c>
      <c r="C76" s="110">
        <f>C75-B76</f>
        <v>0</v>
      </c>
      <c r="D76" s="137" t="b">
        <v>0</v>
      </c>
      <c r="E76" s="85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</row>
    <row r="77" spans="1:30" ht="15.75" customHeight="1" x14ac:dyDescent="0.25">
      <c r="A77" s="121" t="s">
        <v>113</v>
      </c>
      <c r="B77" s="110">
        <v>0</v>
      </c>
      <c r="C77" s="110">
        <f>C75-B77</f>
        <v>0</v>
      </c>
      <c r="D77" s="137" t="b">
        <v>0</v>
      </c>
      <c r="E77" s="85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</row>
    <row r="78" spans="1:30" ht="15.75" customHeight="1" x14ac:dyDescent="0.25">
      <c r="A78" s="144" t="s">
        <v>173</v>
      </c>
      <c r="B78" s="112">
        <v>0</v>
      </c>
      <c r="C78" s="112">
        <f>C77-B78</f>
        <v>0</v>
      </c>
      <c r="D78" s="138" t="b">
        <v>0</v>
      </c>
      <c r="E78" s="85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</row>
    <row r="79" spans="1:30" ht="15.75" customHeight="1" x14ac:dyDescent="0.25">
      <c r="A79" s="121" t="s">
        <v>115</v>
      </c>
      <c r="B79" s="110">
        <v>0</v>
      </c>
      <c r="C79" s="110">
        <f>C77-B79</f>
        <v>0</v>
      </c>
      <c r="D79" s="137" t="b">
        <v>0</v>
      </c>
      <c r="E79" s="85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</row>
    <row r="80" spans="1:30" ht="15.75" customHeight="1" x14ac:dyDescent="0.25">
      <c r="A80" s="157" t="s">
        <v>116</v>
      </c>
      <c r="B80" s="135">
        <v>0</v>
      </c>
      <c r="C80" s="135">
        <f>C79-B80</f>
        <v>0</v>
      </c>
      <c r="D80" s="153" t="b">
        <v>0</v>
      </c>
      <c r="E80" s="85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</row>
    <row r="81" spans="1:30" ht="15.75" customHeight="1" thickBot="1" x14ac:dyDescent="0.3">
      <c r="A81" s="150" t="s">
        <v>117</v>
      </c>
      <c r="B81" s="151">
        <v>0</v>
      </c>
      <c r="C81" s="151">
        <f>C79-B81</f>
        <v>0</v>
      </c>
      <c r="D81" s="152" t="b">
        <v>0</v>
      </c>
      <c r="E81" s="85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</row>
    <row r="82" spans="1:30" ht="15.75" customHeight="1" thickTop="1" x14ac:dyDescent="0.25">
      <c r="A82" s="89"/>
      <c r="B82" s="90"/>
      <c r="C82" s="90"/>
      <c r="D82" s="90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</row>
    <row r="83" spans="1:30" ht="15.75" customHeight="1" x14ac:dyDescent="0.25">
      <c r="A83" s="91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</row>
    <row r="84" spans="1:30" ht="15.75" customHeight="1" x14ac:dyDescent="0.25">
      <c r="A84" s="91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</row>
    <row r="85" spans="1:30" ht="15.75" customHeight="1" x14ac:dyDescent="0.25">
      <c r="A85" s="91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</row>
    <row r="86" spans="1:30" ht="15.75" customHeight="1" x14ac:dyDescent="0.25">
      <c r="A86" s="91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</row>
    <row r="87" spans="1:30" ht="15.75" customHeight="1" x14ac:dyDescent="0.25">
      <c r="A87" s="91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</row>
    <row r="88" spans="1:30" ht="15.75" customHeight="1" x14ac:dyDescent="0.25">
      <c r="A88" s="91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</row>
    <row r="89" spans="1:30" ht="15.75" customHeight="1" x14ac:dyDescent="0.25">
      <c r="A89" s="91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</row>
    <row r="90" spans="1:30" ht="15.75" customHeight="1" x14ac:dyDescent="0.25">
      <c r="A90" s="91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</row>
    <row r="91" spans="1:30" ht="15.75" customHeight="1" x14ac:dyDescent="0.25">
      <c r="A91" s="91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</row>
    <row r="92" spans="1:30" ht="15.75" customHeight="1" x14ac:dyDescent="0.25">
      <c r="A92" s="91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</row>
    <row r="93" spans="1:30" ht="15.75" customHeight="1" x14ac:dyDescent="0.25">
      <c r="A93" s="91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</row>
    <row r="94" spans="1:30" ht="15.75" customHeight="1" x14ac:dyDescent="0.25">
      <c r="A94" s="91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</row>
    <row r="95" spans="1:30" ht="15.75" customHeight="1" x14ac:dyDescent="0.25">
      <c r="A95" s="91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</row>
    <row r="96" spans="1:30" ht="15.75" customHeight="1" x14ac:dyDescent="0.25">
      <c r="A96" s="91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</row>
    <row r="97" spans="1:30" ht="15.75" customHeight="1" x14ac:dyDescent="0.25">
      <c r="A97" s="91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</row>
    <row r="98" spans="1:30" ht="15.75" customHeight="1" x14ac:dyDescent="0.25">
      <c r="A98" s="91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</row>
    <row r="99" spans="1:30" ht="15.75" customHeight="1" x14ac:dyDescent="0.25">
      <c r="A99" s="91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</row>
    <row r="100" spans="1:30" ht="15.75" customHeight="1" x14ac:dyDescent="0.25">
      <c r="A100" s="91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</row>
    <row r="101" spans="1:30" ht="15.75" customHeight="1" x14ac:dyDescent="0.25">
      <c r="A101" s="91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</row>
    <row r="102" spans="1:30" ht="15.75" customHeight="1" x14ac:dyDescent="0.25">
      <c r="A102" s="91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</row>
    <row r="103" spans="1:30" ht="15.75" customHeight="1" x14ac:dyDescent="0.25">
      <c r="A103" s="91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</row>
    <row r="104" spans="1:30" ht="15.75" customHeight="1" x14ac:dyDescent="0.25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</row>
    <row r="105" spans="1:30" ht="15.75" customHeight="1" x14ac:dyDescent="0.25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</row>
    <row r="106" spans="1:30" ht="15.75" customHeight="1" x14ac:dyDescent="0.25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</row>
    <row r="107" spans="1:30" ht="15.75" customHeight="1" x14ac:dyDescent="0.25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</row>
    <row r="108" spans="1:30" ht="15.75" customHeight="1" x14ac:dyDescent="0.25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</row>
    <row r="109" spans="1:30" ht="15.75" customHeight="1" x14ac:dyDescent="0.25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</row>
    <row r="110" spans="1:30" ht="15.75" customHeight="1" x14ac:dyDescent="0.25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</row>
    <row r="111" spans="1:30" ht="15.75" customHeight="1" x14ac:dyDescent="0.25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</row>
    <row r="112" spans="1:30" ht="15.75" customHeight="1" x14ac:dyDescent="0.25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</row>
    <row r="113" spans="1:30" ht="15.75" customHeight="1" x14ac:dyDescent="0.25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</row>
    <row r="114" spans="1:30" ht="15.75" customHeight="1" x14ac:dyDescent="0.25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</row>
    <row r="115" spans="1:30" ht="15.75" customHeight="1" x14ac:dyDescent="0.25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</row>
    <row r="116" spans="1:30" ht="15.75" customHeight="1" x14ac:dyDescent="0.25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</row>
    <row r="117" spans="1:30" ht="15.75" customHeight="1" x14ac:dyDescent="0.25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</row>
    <row r="118" spans="1:30" ht="15.75" customHeight="1" x14ac:dyDescent="0.25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</row>
    <row r="119" spans="1:30" ht="15.75" customHeight="1" x14ac:dyDescent="0.25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</row>
    <row r="120" spans="1:30" ht="15.75" customHeight="1" x14ac:dyDescent="0.25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</row>
    <row r="121" spans="1:30" ht="15.75" customHeight="1" x14ac:dyDescent="0.25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</row>
    <row r="122" spans="1:30" ht="15.75" customHeight="1" x14ac:dyDescent="0.25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</row>
    <row r="123" spans="1:30" ht="15.75" customHeight="1" x14ac:dyDescent="0.25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</row>
    <row r="124" spans="1:30" ht="15.75" customHeight="1" x14ac:dyDescent="0.25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</row>
    <row r="125" spans="1:30" ht="15.75" customHeight="1" x14ac:dyDescent="0.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</row>
    <row r="126" spans="1:30" ht="15.75" customHeight="1" x14ac:dyDescent="0.25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</row>
    <row r="127" spans="1:30" ht="15.75" customHeight="1" x14ac:dyDescent="0.25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</row>
    <row r="128" spans="1:30" ht="15.75" customHeight="1" x14ac:dyDescent="0.25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</row>
    <row r="129" spans="1:30" ht="15.75" customHeight="1" x14ac:dyDescent="0.25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</row>
    <row r="130" spans="1:30" ht="15.75" customHeight="1" x14ac:dyDescent="0.25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</row>
    <row r="131" spans="1:30" ht="15.75" customHeight="1" x14ac:dyDescent="0.25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</row>
    <row r="132" spans="1:30" ht="15.75" customHeight="1" x14ac:dyDescent="0.25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</row>
    <row r="133" spans="1:30" ht="15.75" customHeight="1" x14ac:dyDescent="0.25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</row>
    <row r="134" spans="1:30" ht="15.75" customHeight="1" x14ac:dyDescent="0.25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</row>
    <row r="135" spans="1:30" ht="15.75" customHeight="1" x14ac:dyDescent="0.2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</row>
    <row r="136" spans="1:30" ht="15.75" customHeight="1" x14ac:dyDescent="0.25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</row>
    <row r="137" spans="1:30" ht="15.75" customHeight="1" x14ac:dyDescent="0.25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</row>
    <row r="138" spans="1:30" ht="15.75" customHeight="1" x14ac:dyDescent="0.25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</row>
    <row r="139" spans="1:30" ht="15.75" customHeight="1" x14ac:dyDescent="0.25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</row>
    <row r="140" spans="1:30" ht="15.75" customHeight="1" x14ac:dyDescent="0.25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</row>
    <row r="141" spans="1:30" ht="15.75" customHeight="1" x14ac:dyDescent="0.25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</row>
    <row r="142" spans="1:30" ht="15.75" customHeight="1" x14ac:dyDescent="0.25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</row>
    <row r="143" spans="1:30" ht="15.75" customHeight="1" x14ac:dyDescent="0.25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</row>
    <row r="144" spans="1:30" ht="15.75" customHeight="1" x14ac:dyDescent="0.25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</row>
    <row r="145" spans="1:30" ht="15.75" customHeight="1" x14ac:dyDescent="0.2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</row>
    <row r="146" spans="1:30" ht="15.75" customHeight="1" x14ac:dyDescent="0.25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</row>
    <row r="147" spans="1:30" ht="15.75" customHeight="1" x14ac:dyDescent="0.25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</row>
    <row r="148" spans="1:30" ht="15.75" customHeight="1" x14ac:dyDescent="0.25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</row>
    <row r="149" spans="1:30" ht="15.75" customHeight="1" x14ac:dyDescent="0.25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</row>
    <row r="150" spans="1:30" ht="15.75" customHeight="1" x14ac:dyDescent="0.25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</row>
    <row r="151" spans="1:30" ht="15.75" customHeight="1" x14ac:dyDescent="0.25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</row>
    <row r="152" spans="1:30" ht="15.75" customHeight="1" x14ac:dyDescent="0.25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</row>
    <row r="153" spans="1:30" ht="15.75" customHeight="1" x14ac:dyDescent="0.25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</row>
    <row r="154" spans="1:30" ht="15.75" customHeight="1" x14ac:dyDescent="0.25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</row>
    <row r="155" spans="1:30" ht="15.75" customHeight="1" x14ac:dyDescent="0.25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</row>
    <row r="156" spans="1:30" ht="15.75" customHeight="1" x14ac:dyDescent="0.25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</row>
    <row r="157" spans="1:30" ht="15.75" customHeight="1" x14ac:dyDescent="0.25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</row>
    <row r="158" spans="1:30" ht="15.75" customHeight="1" x14ac:dyDescent="0.25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</row>
    <row r="159" spans="1:30" ht="15.75" customHeight="1" x14ac:dyDescent="0.25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</row>
    <row r="160" spans="1:30" ht="15.75" customHeight="1" x14ac:dyDescent="0.25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</row>
    <row r="161" spans="1:30" ht="15.75" customHeight="1" x14ac:dyDescent="0.25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</row>
    <row r="162" spans="1:30" ht="15.75" customHeight="1" x14ac:dyDescent="0.25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</row>
    <row r="163" spans="1:30" ht="15.75" customHeight="1" x14ac:dyDescent="0.25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</row>
    <row r="164" spans="1:30" ht="15.75" customHeight="1" x14ac:dyDescent="0.25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</row>
    <row r="165" spans="1:30" ht="15.75" customHeight="1" x14ac:dyDescent="0.25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</row>
    <row r="166" spans="1:30" ht="15.75" customHeight="1" x14ac:dyDescent="0.25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</row>
    <row r="167" spans="1:30" ht="15.75" customHeight="1" x14ac:dyDescent="0.25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</row>
    <row r="168" spans="1:30" ht="15.75" customHeight="1" x14ac:dyDescent="0.25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</row>
    <row r="169" spans="1:30" ht="15.75" customHeight="1" x14ac:dyDescent="0.25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</row>
    <row r="170" spans="1:30" ht="15.75" customHeight="1" x14ac:dyDescent="0.25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</row>
    <row r="171" spans="1:30" ht="15.75" customHeight="1" x14ac:dyDescent="0.25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</row>
    <row r="172" spans="1:30" ht="15.75" customHeight="1" x14ac:dyDescent="0.25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</row>
    <row r="173" spans="1:30" ht="15.75" customHeight="1" x14ac:dyDescent="0.25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</row>
    <row r="174" spans="1:30" ht="15.75" customHeight="1" x14ac:dyDescent="0.25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</row>
    <row r="175" spans="1:30" ht="15.75" customHeight="1" x14ac:dyDescent="0.25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</row>
    <row r="176" spans="1:30" ht="15.75" customHeight="1" x14ac:dyDescent="0.25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</row>
    <row r="177" spans="1:30" ht="15.75" customHeight="1" x14ac:dyDescent="0.25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</row>
    <row r="178" spans="1:30" ht="15.75" customHeight="1" x14ac:dyDescent="0.25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</row>
    <row r="179" spans="1:30" ht="15.75" customHeight="1" x14ac:dyDescent="0.25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</row>
    <row r="180" spans="1:30" ht="15.75" customHeight="1" x14ac:dyDescent="0.25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</row>
    <row r="181" spans="1:30" ht="15.75" customHeight="1" x14ac:dyDescent="0.25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</row>
    <row r="182" spans="1:30" ht="15.75" customHeight="1" x14ac:dyDescent="0.25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</row>
    <row r="183" spans="1:30" ht="15.75" customHeight="1" x14ac:dyDescent="0.25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</row>
    <row r="184" spans="1:30" ht="15.75" customHeight="1" x14ac:dyDescent="0.25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</row>
    <row r="185" spans="1:30" ht="15.75" customHeight="1" x14ac:dyDescent="0.25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</row>
    <row r="186" spans="1:30" ht="15.75" customHeight="1" x14ac:dyDescent="0.25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</row>
    <row r="187" spans="1:30" ht="15.75" customHeight="1" x14ac:dyDescent="0.25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</row>
    <row r="188" spans="1:30" ht="15.75" customHeight="1" x14ac:dyDescent="0.25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</row>
    <row r="189" spans="1:30" ht="15.75" customHeight="1" x14ac:dyDescent="0.25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</row>
    <row r="190" spans="1:30" ht="15.75" customHeight="1" x14ac:dyDescent="0.25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</row>
    <row r="191" spans="1:30" ht="15.75" customHeight="1" x14ac:dyDescent="0.25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</row>
    <row r="192" spans="1:30" ht="15.75" customHeight="1" x14ac:dyDescent="0.25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</row>
    <row r="193" spans="1:30" ht="15.75" customHeight="1" x14ac:dyDescent="0.25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</row>
    <row r="194" spans="1:30" ht="15.75" customHeight="1" x14ac:dyDescent="0.25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</row>
    <row r="195" spans="1:30" ht="15.75" customHeight="1" x14ac:dyDescent="0.25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</row>
    <row r="196" spans="1:30" ht="15.75" customHeight="1" x14ac:dyDescent="0.25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</row>
    <row r="197" spans="1:30" ht="15.75" customHeight="1" x14ac:dyDescent="0.25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</row>
    <row r="198" spans="1:30" ht="15.75" customHeight="1" x14ac:dyDescent="0.25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</row>
    <row r="199" spans="1:30" ht="15.75" customHeight="1" x14ac:dyDescent="0.25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</row>
    <row r="200" spans="1:30" ht="15.75" customHeight="1" x14ac:dyDescent="0.25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</row>
    <row r="201" spans="1:30" ht="15.75" customHeight="1" x14ac:dyDescent="0.25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</row>
    <row r="202" spans="1:30" ht="15.75" customHeight="1" x14ac:dyDescent="0.25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</row>
    <row r="203" spans="1:30" ht="15.75" customHeight="1" x14ac:dyDescent="0.25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</row>
    <row r="204" spans="1:30" ht="15.75" customHeight="1" x14ac:dyDescent="0.25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</row>
    <row r="205" spans="1:30" ht="15.75" customHeight="1" x14ac:dyDescent="0.25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</row>
    <row r="206" spans="1:30" ht="15.75" customHeight="1" x14ac:dyDescent="0.25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</row>
    <row r="207" spans="1:30" ht="15.75" customHeight="1" x14ac:dyDescent="0.25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</row>
    <row r="208" spans="1:30" ht="15.75" customHeight="1" x14ac:dyDescent="0.25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</row>
    <row r="209" spans="1:30" ht="15.75" customHeight="1" x14ac:dyDescent="0.25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</row>
    <row r="210" spans="1:30" ht="15.75" customHeight="1" x14ac:dyDescent="0.25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</row>
    <row r="211" spans="1:30" ht="15.75" customHeight="1" x14ac:dyDescent="0.25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</row>
    <row r="212" spans="1:30" ht="15.75" customHeight="1" x14ac:dyDescent="0.25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</row>
    <row r="213" spans="1:30" ht="15.75" customHeight="1" x14ac:dyDescent="0.25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</row>
    <row r="214" spans="1:30" ht="15.75" customHeight="1" x14ac:dyDescent="0.25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</row>
    <row r="215" spans="1:30" ht="15.75" customHeight="1" x14ac:dyDescent="0.25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</row>
    <row r="216" spans="1:30" ht="15.75" customHeight="1" x14ac:dyDescent="0.25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</row>
    <row r="217" spans="1:30" ht="15.75" customHeight="1" x14ac:dyDescent="0.25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</row>
    <row r="218" spans="1:30" ht="15.75" customHeight="1" x14ac:dyDescent="0.25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</row>
    <row r="219" spans="1:30" ht="15.75" customHeight="1" x14ac:dyDescent="0.25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</row>
    <row r="220" spans="1:30" ht="15.75" customHeight="1" x14ac:dyDescent="0.25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</row>
    <row r="221" spans="1:30" ht="15.75" customHeight="1" x14ac:dyDescent="0.25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</row>
    <row r="222" spans="1:30" ht="15.75" customHeight="1" x14ac:dyDescent="0.25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</row>
    <row r="223" spans="1:30" ht="15.75" customHeight="1" x14ac:dyDescent="0.25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</row>
    <row r="224" spans="1:30" ht="15.75" customHeight="1" x14ac:dyDescent="0.25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</row>
    <row r="225" spans="1:30" ht="15.75" customHeight="1" x14ac:dyDescent="0.25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</row>
    <row r="226" spans="1:30" ht="15.75" customHeight="1" x14ac:dyDescent="0.25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</row>
    <row r="227" spans="1:30" ht="15.75" customHeight="1" x14ac:dyDescent="0.25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</row>
    <row r="228" spans="1:30" ht="15.75" customHeight="1" x14ac:dyDescent="0.25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</row>
    <row r="229" spans="1:30" ht="15.75" customHeight="1" x14ac:dyDescent="0.25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</row>
    <row r="230" spans="1:30" ht="15.75" customHeight="1" x14ac:dyDescent="0.25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</row>
    <row r="231" spans="1:30" ht="15.75" customHeight="1" x14ac:dyDescent="0.25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</row>
    <row r="232" spans="1:30" ht="15.75" customHeight="1" x14ac:dyDescent="0.25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</row>
    <row r="233" spans="1:30" ht="15.75" customHeight="1" x14ac:dyDescent="0.25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</row>
    <row r="234" spans="1:30" ht="15.75" customHeight="1" x14ac:dyDescent="0.25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</row>
    <row r="235" spans="1:30" ht="15.75" customHeight="1" x14ac:dyDescent="0.25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</row>
    <row r="236" spans="1:30" ht="15.75" customHeight="1" x14ac:dyDescent="0.25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</row>
    <row r="237" spans="1:30" ht="15.75" customHeight="1" x14ac:dyDescent="0.25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</row>
    <row r="238" spans="1:30" ht="15.75" customHeight="1" x14ac:dyDescent="0.25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</row>
    <row r="239" spans="1:30" ht="15.75" customHeight="1" x14ac:dyDescent="0.25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</row>
    <row r="240" spans="1:30" ht="15.75" customHeight="1" x14ac:dyDescent="0.25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</row>
    <row r="241" spans="1:30" ht="15.75" customHeight="1" x14ac:dyDescent="0.25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</row>
    <row r="242" spans="1:30" ht="15.75" customHeight="1" x14ac:dyDescent="0.25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</row>
    <row r="243" spans="1:30" ht="15.75" customHeight="1" x14ac:dyDescent="0.25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</row>
    <row r="244" spans="1:30" ht="15.75" customHeight="1" x14ac:dyDescent="0.25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</row>
    <row r="245" spans="1:30" ht="15.75" customHeight="1" x14ac:dyDescent="0.25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</row>
    <row r="246" spans="1:30" ht="15.75" customHeight="1" x14ac:dyDescent="0.25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</row>
    <row r="247" spans="1:30" ht="15.75" customHeight="1" x14ac:dyDescent="0.25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</row>
    <row r="248" spans="1:30" ht="15.75" customHeight="1" x14ac:dyDescent="0.25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</row>
    <row r="249" spans="1:30" ht="15.75" customHeight="1" x14ac:dyDescent="0.25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</row>
    <row r="250" spans="1:30" ht="15.75" customHeight="1" x14ac:dyDescent="0.25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</row>
    <row r="251" spans="1:30" ht="15.75" customHeight="1" x14ac:dyDescent="0.25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</row>
    <row r="252" spans="1:30" ht="15.75" customHeight="1" x14ac:dyDescent="0.25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</row>
    <row r="253" spans="1:30" ht="15.75" customHeight="1" x14ac:dyDescent="0.25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</row>
    <row r="254" spans="1:30" ht="15.75" customHeight="1" x14ac:dyDescent="0.25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</row>
    <row r="255" spans="1:30" ht="15.75" customHeight="1" x14ac:dyDescent="0.25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</row>
    <row r="256" spans="1:30" ht="15.75" customHeight="1" x14ac:dyDescent="0.25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</row>
    <row r="257" spans="1:30" ht="15.75" customHeight="1" x14ac:dyDescent="0.25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</row>
    <row r="258" spans="1:30" ht="15.75" customHeight="1" x14ac:dyDescent="0.25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</row>
    <row r="259" spans="1:30" ht="15.75" customHeight="1" x14ac:dyDescent="0.25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</row>
    <row r="260" spans="1:30" ht="15.75" customHeight="1" x14ac:dyDescent="0.25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</row>
    <row r="261" spans="1:30" ht="15.75" customHeight="1" x14ac:dyDescent="0.25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</row>
    <row r="262" spans="1:30" ht="15.75" customHeight="1" x14ac:dyDescent="0.25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</row>
    <row r="263" spans="1:30" ht="15.75" customHeight="1" x14ac:dyDescent="0.25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</row>
    <row r="264" spans="1:30" ht="15.75" customHeight="1" x14ac:dyDescent="0.25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</row>
    <row r="265" spans="1:30" ht="15.75" customHeight="1" x14ac:dyDescent="0.25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</row>
    <row r="266" spans="1:30" ht="15.75" customHeight="1" x14ac:dyDescent="0.25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</row>
    <row r="267" spans="1:30" ht="15.75" customHeight="1" x14ac:dyDescent="0.25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</row>
    <row r="268" spans="1:30" ht="15.75" customHeight="1" x14ac:dyDescent="0.25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</row>
    <row r="269" spans="1:30" ht="15.75" customHeight="1" x14ac:dyDescent="0.25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</row>
    <row r="270" spans="1:30" ht="15.75" customHeight="1" x14ac:dyDescent="0.25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</row>
    <row r="271" spans="1:30" ht="15.75" customHeight="1" x14ac:dyDescent="0.25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</row>
    <row r="272" spans="1:30" ht="15.75" customHeight="1" x14ac:dyDescent="0.25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</row>
    <row r="273" spans="1:30" ht="15.75" customHeight="1" x14ac:dyDescent="0.25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</row>
    <row r="274" spans="1:30" ht="15.75" customHeight="1" x14ac:dyDescent="0.25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</row>
    <row r="275" spans="1:30" ht="15.75" customHeight="1" x14ac:dyDescent="0.25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</row>
    <row r="276" spans="1:30" ht="15.75" customHeight="1" x14ac:dyDescent="0.25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</row>
    <row r="277" spans="1:30" ht="15.75" customHeight="1" x14ac:dyDescent="0.25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</row>
    <row r="278" spans="1:30" ht="15.75" customHeight="1" x14ac:dyDescent="0.25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</row>
    <row r="279" spans="1:30" ht="15.75" customHeight="1" x14ac:dyDescent="0.25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</row>
    <row r="280" spans="1:30" ht="15.75" customHeight="1" x14ac:dyDescent="0.25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</row>
    <row r="281" spans="1:30" ht="15.75" customHeight="1" x14ac:dyDescent="0.25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</row>
    <row r="282" spans="1:30" ht="15.75" customHeight="1" x14ac:dyDescent="0.25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</row>
    <row r="283" spans="1:30" ht="15.75" customHeight="1" x14ac:dyDescent="0.25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</row>
    <row r="284" spans="1:30" ht="15.75" customHeight="1" x14ac:dyDescent="0.25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</row>
    <row r="285" spans="1:30" ht="15.75" customHeight="1" x14ac:dyDescent="0.25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</row>
    <row r="286" spans="1:30" ht="15.75" customHeight="1" x14ac:dyDescent="0.25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</row>
    <row r="287" spans="1:30" ht="15.75" customHeight="1" x14ac:dyDescent="0.25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</row>
    <row r="288" spans="1:30" ht="15.75" customHeight="1" x14ac:dyDescent="0.25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</row>
    <row r="289" spans="1:30" ht="15.75" customHeight="1" x14ac:dyDescent="0.25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</row>
    <row r="290" spans="1:30" ht="15.75" customHeight="1" x14ac:dyDescent="0.25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</row>
    <row r="291" spans="1:30" ht="15.75" customHeight="1" x14ac:dyDescent="0.25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</row>
    <row r="292" spans="1:30" ht="15.75" customHeight="1" x14ac:dyDescent="0.25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</row>
    <row r="293" spans="1:30" ht="15.75" customHeight="1" x14ac:dyDescent="0.25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</row>
    <row r="294" spans="1:30" ht="15.75" customHeight="1" x14ac:dyDescent="0.25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</row>
    <row r="295" spans="1:30" ht="15.75" customHeight="1" x14ac:dyDescent="0.25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</row>
    <row r="296" spans="1:30" ht="15.75" customHeight="1" x14ac:dyDescent="0.25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</row>
    <row r="297" spans="1:30" ht="15.75" customHeight="1" x14ac:dyDescent="0.25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</row>
    <row r="298" spans="1:30" ht="15.75" customHeight="1" x14ac:dyDescent="0.25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</row>
    <row r="299" spans="1:30" ht="15.75" customHeight="1" x14ac:dyDescent="0.25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</row>
    <row r="300" spans="1:30" ht="15.75" customHeight="1" x14ac:dyDescent="0.25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</row>
    <row r="301" spans="1:30" ht="15.75" customHeight="1" x14ac:dyDescent="0.25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</row>
    <row r="302" spans="1:30" ht="15.75" customHeight="1" x14ac:dyDescent="0.25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</row>
    <row r="303" spans="1:30" ht="15.75" customHeight="1" x14ac:dyDescent="0.25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</row>
    <row r="304" spans="1:30" ht="15.75" customHeight="1" x14ac:dyDescent="0.25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</row>
    <row r="305" spans="1:30" ht="15.75" customHeight="1" x14ac:dyDescent="0.25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</row>
    <row r="306" spans="1:30" ht="15.75" customHeight="1" x14ac:dyDescent="0.25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</row>
    <row r="307" spans="1:30" ht="15.75" customHeight="1" x14ac:dyDescent="0.25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</row>
    <row r="308" spans="1:30" ht="15.75" customHeight="1" x14ac:dyDescent="0.25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</row>
    <row r="309" spans="1:30" ht="15.75" customHeight="1" x14ac:dyDescent="0.25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</row>
    <row r="310" spans="1:30" ht="15.75" customHeight="1" x14ac:dyDescent="0.25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</row>
    <row r="311" spans="1:30" ht="15.75" customHeight="1" x14ac:dyDescent="0.25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</row>
    <row r="312" spans="1:30" ht="15.75" customHeight="1" x14ac:dyDescent="0.25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</row>
    <row r="313" spans="1:30" ht="15.75" customHeight="1" x14ac:dyDescent="0.25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</row>
    <row r="314" spans="1:30" ht="15.75" customHeight="1" x14ac:dyDescent="0.25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</row>
    <row r="315" spans="1:30" ht="15.75" customHeight="1" x14ac:dyDescent="0.25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</row>
    <row r="316" spans="1:30" ht="15.75" customHeight="1" x14ac:dyDescent="0.25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</row>
    <row r="317" spans="1:30" ht="15.75" customHeight="1" x14ac:dyDescent="0.25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</row>
    <row r="318" spans="1:30" ht="15.75" customHeight="1" x14ac:dyDescent="0.25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</row>
    <row r="319" spans="1:30" ht="15.75" customHeight="1" x14ac:dyDescent="0.25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</row>
    <row r="320" spans="1:30" ht="15.75" customHeight="1" x14ac:dyDescent="0.25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</row>
    <row r="321" spans="1:30" ht="15.75" customHeight="1" x14ac:dyDescent="0.25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</row>
    <row r="322" spans="1:30" ht="15.75" customHeight="1" x14ac:dyDescent="0.25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</row>
    <row r="323" spans="1:30" ht="15.75" customHeight="1" x14ac:dyDescent="0.25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</row>
    <row r="324" spans="1:30" ht="15.75" customHeight="1" x14ac:dyDescent="0.25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</row>
    <row r="325" spans="1:30" ht="15.75" customHeight="1" x14ac:dyDescent="0.25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</row>
    <row r="326" spans="1:30" ht="15.75" customHeight="1" x14ac:dyDescent="0.25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</row>
    <row r="327" spans="1:30" ht="15.75" customHeight="1" x14ac:dyDescent="0.25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</row>
    <row r="328" spans="1:30" ht="15.75" customHeight="1" x14ac:dyDescent="0.25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</row>
    <row r="329" spans="1:30" ht="15.75" customHeight="1" x14ac:dyDescent="0.25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</row>
    <row r="330" spans="1:30" ht="15.75" customHeight="1" x14ac:dyDescent="0.25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</row>
    <row r="331" spans="1:30" ht="15.75" customHeight="1" x14ac:dyDescent="0.25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</row>
    <row r="332" spans="1:30" ht="15.75" customHeight="1" x14ac:dyDescent="0.25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</row>
    <row r="333" spans="1:30" ht="15.75" customHeight="1" x14ac:dyDescent="0.25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</row>
    <row r="334" spans="1:30" ht="15.75" customHeight="1" x14ac:dyDescent="0.25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</row>
    <row r="335" spans="1:30" ht="15.75" customHeight="1" x14ac:dyDescent="0.25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</row>
    <row r="336" spans="1:30" ht="15.75" customHeight="1" x14ac:dyDescent="0.25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</row>
    <row r="337" spans="1:30" ht="15.75" customHeight="1" x14ac:dyDescent="0.25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</row>
    <row r="338" spans="1:30" ht="15.75" customHeight="1" x14ac:dyDescent="0.25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</row>
    <row r="339" spans="1:30" ht="15.75" customHeight="1" x14ac:dyDescent="0.25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</row>
    <row r="340" spans="1:30" ht="15.75" customHeight="1" x14ac:dyDescent="0.25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</row>
    <row r="341" spans="1:30" ht="15.75" customHeight="1" x14ac:dyDescent="0.25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</row>
    <row r="342" spans="1:30" ht="15.75" customHeight="1" x14ac:dyDescent="0.25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</row>
    <row r="343" spans="1:30" ht="15.75" customHeight="1" x14ac:dyDescent="0.25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</row>
    <row r="344" spans="1:30" ht="15.75" customHeight="1" x14ac:dyDescent="0.25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</row>
    <row r="345" spans="1:30" ht="15.75" customHeight="1" x14ac:dyDescent="0.25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</row>
    <row r="346" spans="1:30" ht="15.75" customHeight="1" x14ac:dyDescent="0.25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</row>
    <row r="347" spans="1:30" ht="15.75" customHeight="1" x14ac:dyDescent="0.25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</row>
    <row r="348" spans="1:30" ht="15.75" customHeight="1" x14ac:dyDescent="0.25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</row>
    <row r="349" spans="1:30" ht="15.75" customHeight="1" x14ac:dyDescent="0.25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</row>
    <row r="350" spans="1:30" ht="15.75" customHeight="1" x14ac:dyDescent="0.25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</row>
    <row r="351" spans="1:30" ht="15.75" customHeight="1" x14ac:dyDescent="0.25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</row>
    <row r="352" spans="1:30" ht="15.75" customHeight="1" x14ac:dyDescent="0.25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</row>
    <row r="353" spans="1:30" ht="15.75" customHeight="1" x14ac:dyDescent="0.25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</row>
    <row r="354" spans="1:30" ht="15.75" customHeight="1" x14ac:dyDescent="0.25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</row>
    <row r="355" spans="1:30" ht="15.75" customHeight="1" x14ac:dyDescent="0.25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</row>
    <row r="356" spans="1:30" ht="15.75" customHeight="1" x14ac:dyDescent="0.25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</row>
    <row r="357" spans="1:30" ht="15.75" customHeight="1" x14ac:dyDescent="0.25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</row>
    <row r="358" spans="1:30" ht="15.75" customHeight="1" x14ac:dyDescent="0.25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</row>
    <row r="359" spans="1:30" ht="15.75" customHeight="1" x14ac:dyDescent="0.25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</row>
    <row r="360" spans="1:30" ht="15.75" customHeight="1" x14ac:dyDescent="0.25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</row>
    <row r="361" spans="1:30" ht="15.75" customHeight="1" x14ac:dyDescent="0.25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</row>
    <row r="362" spans="1:30" ht="15.75" customHeight="1" x14ac:dyDescent="0.25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</row>
    <row r="363" spans="1:30" ht="15.75" customHeight="1" x14ac:dyDescent="0.25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</row>
    <row r="364" spans="1:30" ht="15.75" customHeight="1" x14ac:dyDescent="0.25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</row>
    <row r="365" spans="1:30" ht="15.75" customHeight="1" x14ac:dyDescent="0.25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</row>
    <row r="366" spans="1:30" ht="15.75" customHeight="1" x14ac:dyDescent="0.25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</row>
    <row r="367" spans="1:30" ht="15.75" customHeight="1" x14ac:dyDescent="0.25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</row>
    <row r="368" spans="1:30" ht="15.75" customHeight="1" x14ac:dyDescent="0.25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</row>
    <row r="369" spans="1:30" ht="15.75" customHeight="1" x14ac:dyDescent="0.25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</row>
    <row r="370" spans="1:30" ht="15.75" customHeight="1" x14ac:dyDescent="0.25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</row>
    <row r="371" spans="1:30" ht="15.75" customHeight="1" x14ac:dyDescent="0.25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</row>
    <row r="372" spans="1:30" ht="15.75" customHeight="1" x14ac:dyDescent="0.25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</row>
    <row r="373" spans="1:30" ht="15.75" customHeight="1" x14ac:dyDescent="0.25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</row>
    <row r="374" spans="1:30" ht="15.75" customHeight="1" x14ac:dyDescent="0.25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</row>
    <row r="375" spans="1:30" ht="15.75" customHeight="1" x14ac:dyDescent="0.25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</row>
    <row r="376" spans="1:30" ht="15.75" customHeight="1" x14ac:dyDescent="0.25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</row>
    <row r="377" spans="1:30" ht="15.75" customHeight="1" x14ac:dyDescent="0.25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</row>
    <row r="378" spans="1:30" ht="15.75" customHeight="1" x14ac:dyDescent="0.25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</row>
    <row r="379" spans="1:30" ht="15.75" customHeight="1" x14ac:dyDescent="0.25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</row>
    <row r="380" spans="1:30" ht="15.75" customHeight="1" x14ac:dyDescent="0.25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</row>
    <row r="381" spans="1:30" ht="15.75" customHeight="1" x14ac:dyDescent="0.25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</row>
    <row r="382" spans="1:30" ht="15.75" customHeight="1" x14ac:dyDescent="0.25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</row>
    <row r="383" spans="1:30" ht="15.75" customHeight="1" x14ac:dyDescent="0.25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</row>
    <row r="384" spans="1:30" ht="15.75" customHeight="1" x14ac:dyDescent="0.25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</row>
    <row r="385" spans="1:30" ht="15.75" customHeight="1" x14ac:dyDescent="0.25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</row>
    <row r="386" spans="1:30" ht="15.75" customHeight="1" x14ac:dyDescent="0.25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</row>
    <row r="387" spans="1:30" ht="15.75" customHeight="1" x14ac:dyDescent="0.25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</row>
    <row r="388" spans="1:30" ht="15.75" customHeight="1" x14ac:dyDescent="0.25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</row>
    <row r="389" spans="1:30" ht="15.75" customHeight="1" x14ac:dyDescent="0.25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</row>
    <row r="390" spans="1:30" ht="15.75" customHeight="1" x14ac:dyDescent="0.25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</row>
    <row r="391" spans="1:30" ht="15.75" customHeight="1" x14ac:dyDescent="0.25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</row>
    <row r="392" spans="1:30" ht="15.75" customHeight="1" x14ac:dyDescent="0.25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</row>
    <row r="393" spans="1:30" ht="15.75" customHeight="1" x14ac:dyDescent="0.25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</row>
    <row r="394" spans="1:30" ht="15.75" customHeight="1" x14ac:dyDescent="0.25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</row>
    <row r="395" spans="1:30" ht="15.75" customHeight="1" x14ac:dyDescent="0.25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</row>
    <row r="396" spans="1:30" ht="15.75" customHeight="1" x14ac:dyDescent="0.25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</row>
    <row r="397" spans="1:30" ht="15.75" customHeight="1" x14ac:dyDescent="0.25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</row>
    <row r="398" spans="1:30" ht="15.75" customHeight="1" x14ac:dyDescent="0.25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</row>
    <row r="399" spans="1:30" ht="15.75" customHeight="1" x14ac:dyDescent="0.25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</row>
    <row r="400" spans="1:30" ht="15.75" customHeight="1" x14ac:dyDescent="0.25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</row>
    <row r="401" spans="1:30" ht="15.75" customHeight="1" x14ac:dyDescent="0.25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</row>
    <row r="402" spans="1:30" ht="15.75" customHeight="1" x14ac:dyDescent="0.25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</row>
    <row r="403" spans="1:30" ht="15.75" customHeight="1" x14ac:dyDescent="0.25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</row>
    <row r="404" spans="1:30" ht="15.75" customHeight="1" x14ac:dyDescent="0.25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</row>
    <row r="405" spans="1:30" ht="15.75" customHeight="1" x14ac:dyDescent="0.25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</row>
    <row r="406" spans="1:30" ht="15.75" customHeight="1" x14ac:dyDescent="0.25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</row>
    <row r="407" spans="1:30" ht="15.75" customHeight="1" x14ac:dyDescent="0.25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</row>
    <row r="408" spans="1:30" ht="15.75" customHeight="1" x14ac:dyDescent="0.25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</row>
    <row r="409" spans="1:30" ht="15.75" customHeight="1" x14ac:dyDescent="0.25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</row>
    <row r="410" spans="1:30" ht="15.75" customHeight="1" x14ac:dyDescent="0.25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</row>
    <row r="411" spans="1:30" ht="15.75" customHeight="1" x14ac:dyDescent="0.25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</row>
    <row r="412" spans="1:30" ht="15.75" customHeight="1" x14ac:dyDescent="0.25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</row>
    <row r="413" spans="1:30" ht="15.75" customHeight="1" x14ac:dyDescent="0.25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</row>
    <row r="414" spans="1:30" ht="15.75" customHeight="1" x14ac:dyDescent="0.25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</row>
    <row r="415" spans="1:30" ht="15.75" customHeight="1" x14ac:dyDescent="0.25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</row>
    <row r="416" spans="1:30" ht="15.75" customHeight="1" x14ac:dyDescent="0.25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</row>
    <row r="417" spans="1:30" ht="15.75" customHeight="1" x14ac:dyDescent="0.25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</row>
    <row r="418" spans="1:30" ht="15.75" customHeight="1" x14ac:dyDescent="0.25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</row>
    <row r="419" spans="1:30" ht="15.75" customHeight="1" x14ac:dyDescent="0.25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</row>
    <row r="420" spans="1:30" ht="15.75" customHeight="1" x14ac:dyDescent="0.25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</row>
    <row r="421" spans="1:30" ht="15.75" customHeight="1" x14ac:dyDescent="0.25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</row>
    <row r="422" spans="1:30" ht="15.75" customHeight="1" x14ac:dyDescent="0.25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</row>
    <row r="423" spans="1:30" ht="15.75" customHeight="1" x14ac:dyDescent="0.25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</row>
    <row r="424" spans="1:30" ht="15.75" customHeight="1" x14ac:dyDescent="0.25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</row>
    <row r="425" spans="1:30" ht="15.75" customHeight="1" x14ac:dyDescent="0.25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</row>
    <row r="426" spans="1:30" ht="15.75" customHeight="1" x14ac:dyDescent="0.25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</row>
    <row r="427" spans="1:30" ht="15.75" customHeight="1" x14ac:dyDescent="0.25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</row>
    <row r="428" spans="1:30" ht="15.75" customHeight="1" x14ac:dyDescent="0.25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</row>
    <row r="429" spans="1:30" ht="15.75" customHeight="1" x14ac:dyDescent="0.25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</row>
    <row r="430" spans="1:30" ht="15.75" customHeight="1" x14ac:dyDescent="0.25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</row>
    <row r="431" spans="1:30" ht="15.75" customHeight="1" x14ac:dyDescent="0.25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</row>
    <row r="432" spans="1:30" ht="15.75" customHeight="1" x14ac:dyDescent="0.25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</row>
    <row r="433" spans="1:30" ht="15.75" customHeight="1" x14ac:dyDescent="0.25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</row>
    <row r="434" spans="1:30" ht="15.75" customHeight="1" x14ac:dyDescent="0.25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</row>
    <row r="435" spans="1:30" ht="15.75" customHeight="1" x14ac:dyDescent="0.25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</row>
    <row r="436" spans="1:30" ht="15.75" customHeight="1" x14ac:dyDescent="0.25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</row>
    <row r="437" spans="1:30" ht="15.75" customHeight="1" x14ac:dyDescent="0.25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</row>
    <row r="438" spans="1:30" ht="15.75" customHeight="1" x14ac:dyDescent="0.25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</row>
    <row r="439" spans="1:30" ht="15.75" customHeight="1" x14ac:dyDescent="0.25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</row>
    <row r="440" spans="1:30" ht="15.75" customHeight="1" x14ac:dyDescent="0.25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</row>
    <row r="441" spans="1:30" ht="15.75" customHeight="1" x14ac:dyDescent="0.25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</row>
    <row r="442" spans="1:30" ht="15.75" customHeight="1" x14ac:dyDescent="0.25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</row>
    <row r="443" spans="1:30" ht="15.75" customHeight="1" x14ac:dyDescent="0.25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</row>
    <row r="444" spans="1:30" ht="15.75" customHeight="1" x14ac:dyDescent="0.25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</row>
    <row r="445" spans="1:30" ht="15.75" customHeight="1" x14ac:dyDescent="0.25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</row>
    <row r="446" spans="1:30" ht="15.75" customHeight="1" x14ac:dyDescent="0.25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</row>
    <row r="447" spans="1:30" ht="15.75" customHeight="1" x14ac:dyDescent="0.25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</row>
    <row r="448" spans="1:30" ht="15.75" customHeight="1" x14ac:dyDescent="0.25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</row>
    <row r="449" spans="1:30" ht="15.75" customHeight="1" x14ac:dyDescent="0.25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</row>
    <row r="450" spans="1:30" ht="15.75" customHeight="1" x14ac:dyDescent="0.25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</row>
    <row r="451" spans="1:30" ht="15.75" customHeight="1" x14ac:dyDescent="0.25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</row>
    <row r="452" spans="1:30" ht="15.75" customHeight="1" x14ac:dyDescent="0.25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</row>
    <row r="453" spans="1:30" ht="15.75" customHeight="1" x14ac:dyDescent="0.25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</row>
    <row r="454" spans="1:30" ht="15.75" customHeight="1" x14ac:dyDescent="0.25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</row>
    <row r="455" spans="1:30" ht="15.75" customHeight="1" x14ac:dyDescent="0.25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</row>
    <row r="456" spans="1:30" ht="15.75" customHeight="1" x14ac:dyDescent="0.25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</row>
    <row r="457" spans="1:30" ht="15.75" customHeight="1" x14ac:dyDescent="0.25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</row>
    <row r="458" spans="1:30" ht="15.75" customHeight="1" x14ac:dyDescent="0.25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</row>
    <row r="459" spans="1:30" ht="15.75" customHeight="1" x14ac:dyDescent="0.25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</row>
    <row r="460" spans="1:30" ht="15.75" customHeight="1" x14ac:dyDescent="0.25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</row>
    <row r="461" spans="1:30" ht="15.75" customHeight="1" x14ac:dyDescent="0.25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</row>
    <row r="462" spans="1:30" ht="15.75" customHeight="1" x14ac:dyDescent="0.25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</row>
    <row r="463" spans="1:30" ht="15.75" customHeight="1" x14ac:dyDescent="0.25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</row>
    <row r="464" spans="1:30" ht="15.75" customHeight="1" x14ac:dyDescent="0.25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</row>
    <row r="465" spans="1:30" ht="15.75" customHeight="1" x14ac:dyDescent="0.25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</row>
    <row r="466" spans="1:30" ht="15.75" customHeight="1" x14ac:dyDescent="0.25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</row>
    <row r="467" spans="1:30" ht="15.75" customHeight="1" x14ac:dyDescent="0.25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</row>
    <row r="468" spans="1:30" ht="15.75" customHeight="1" x14ac:dyDescent="0.25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</row>
    <row r="469" spans="1:30" ht="15.75" customHeight="1" x14ac:dyDescent="0.25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</row>
    <row r="470" spans="1:30" ht="15.75" customHeight="1" x14ac:dyDescent="0.25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</row>
    <row r="471" spans="1:30" ht="15.75" customHeight="1" x14ac:dyDescent="0.25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</row>
    <row r="472" spans="1:30" ht="15.75" customHeight="1" x14ac:dyDescent="0.25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</row>
    <row r="473" spans="1:30" ht="15.75" customHeight="1" x14ac:dyDescent="0.25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</row>
    <row r="474" spans="1:30" ht="15.75" customHeight="1" x14ac:dyDescent="0.25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</row>
    <row r="475" spans="1:30" ht="15.75" customHeight="1" x14ac:dyDescent="0.25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</row>
    <row r="476" spans="1:30" ht="15.75" customHeight="1" x14ac:dyDescent="0.25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</row>
    <row r="477" spans="1:30" ht="15.75" customHeight="1" x14ac:dyDescent="0.25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</row>
    <row r="478" spans="1:30" ht="15.75" customHeight="1" x14ac:dyDescent="0.25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</row>
    <row r="479" spans="1:30" ht="15.75" customHeight="1" x14ac:dyDescent="0.25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</row>
    <row r="480" spans="1:30" ht="15.75" customHeight="1" x14ac:dyDescent="0.25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</row>
    <row r="481" spans="1:30" ht="15.75" customHeight="1" x14ac:dyDescent="0.25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</row>
    <row r="482" spans="1:30" ht="15.75" customHeight="1" x14ac:dyDescent="0.25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</row>
    <row r="483" spans="1:30" ht="15.75" customHeight="1" x14ac:dyDescent="0.25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</row>
    <row r="484" spans="1:30" ht="15.75" customHeight="1" x14ac:dyDescent="0.25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</row>
    <row r="485" spans="1:30" ht="15.75" customHeight="1" x14ac:dyDescent="0.25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</row>
    <row r="486" spans="1:30" ht="15.75" customHeight="1" x14ac:dyDescent="0.25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</row>
    <row r="487" spans="1:30" ht="15.75" customHeight="1" x14ac:dyDescent="0.25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</row>
    <row r="488" spans="1:30" ht="15.75" customHeight="1" x14ac:dyDescent="0.25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</row>
    <row r="489" spans="1:30" ht="15.75" customHeight="1" x14ac:dyDescent="0.25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</row>
    <row r="490" spans="1:30" ht="15.75" customHeight="1" x14ac:dyDescent="0.25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</row>
    <row r="491" spans="1:30" ht="15.75" customHeight="1" x14ac:dyDescent="0.25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</row>
    <row r="492" spans="1:30" ht="15.75" customHeight="1" x14ac:dyDescent="0.25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</row>
    <row r="493" spans="1:30" ht="15.75" customHeight="1" x14ac:dyDescent="0.25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</row>
    <row r="494" spans="1:30" ht="15.75" customHeight="1" x14ac:dyDescent="0.25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</row>
    <row r="495" spans="1:30" ht="15.75" customHeight="1" x14ac:dyDescent="0.25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</row>
    <row r="496" spans="1:30" ht="15.75" customHeight="1" x14ac:dyDescent="0.25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</row>
    <row r="497" spans="1:30" ht="15.75" customHeight="1" x14ac:dyDescent="0.25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</row>
    <row r="498" spans="1:30" ht="15.75" customHeight="1" x14ac:dyDescent="0.25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</row>
    <row r="499" spans="1:30" ht="15.75" customHeight="1" x14ac:dyDescent="0.25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</row>
    <row r="500" spans="1:30" ht="15.75" customHeight="1" x14ac:dyDescent="0.25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</row>
    <row r="501" spans="1:30" ht="15.75" customHeight="1" x14ac:dyDescent="0.25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</row>
    <row r="502" spans="1:30" ht="15.75" customHeight="1" x14ac:dyDescent="0.25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</row>
    <row r="503" spans="1:30" ht="15.75" customHeight="1" x14ac:dyDescent="0.25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</row>
    <row r="504" spans="1:30" ht="15.75" customHeight="1" x14ac:dyDescent="0.25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</row>
    <row r="505" spans="1:30" ht="15.75" customHeight="1" x14ac:dyDescent="0.25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</row>
    <row r="506" spans="1:30" ht="15.75" customHeight="1" x14ac:dyDescent="0.25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</row>
    <row r="507" spans="1:30" ht="15.75" customHeight="1" x14ac:dyDescent="0.25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</row>
    <row r="508" spans="1:30" ht="15.75" customHeight="1" x14ac:dyDescent="0.25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</row>
    <row r="509" spans="1:30" ht="15.75" customHeight="1" x14ac:dyDescent="0.25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</row>
    <row r="510" spans="1:30" ht="15.75" customHeight="1" x14ac:dyDescent="0.25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</row>
    <row r="511" spans="1:30" ht="15.75" customHeight="1" x14ac:dyDescent="0.25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</row>
    <row r="512" spans="1:30" ht="15.75" customHeight="1" x14ac:dyDescent="0.25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</row>
    <row r="513" spans="1:30" ht="15.75" customHeight="1" x14ac:dyDescent="0.25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</row>
    <row r="514" spans="1:30" ht="15.75" customHeight="1" x14ac:dyDescent="0.25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</row>
    <row r="515" spans="1:30" ht="15.75" customHeight="1" x14ac:dyDescent="0.25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</row>
    <row r="516" spans="1:30" ht="15.75" customHeight="1" x14ac:dyDescent="0.25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</row>
    <row r="517" spans="1:30" ht="15.75" customHeight="1" x14ac:dyDescent="0.25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</row>
    <row r="518" spans="1:30" ht="15.75" customHeight="1" x14ac:dyDescent="0.25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</row>
    <row r="519" spans="1:30" ht="15.75" customHeight="1" x14ac:dyDescent="0.25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</row>
    <row r="520" spans="1:30" ht="15.75" customHeight="1" x14ac:dyDescent="0.25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</row>
    <row r="521" spans="1:30" ht="15.75" customHeight="1" x14ac:dyDescent="0.25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</row>
    <row r="522" spans="1:30" ht="15.75" customHeight="1" x14ac:dyDescent="0.25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</row>
    <row r="523" spans="1:30" ht="15.75" customHeight="1" x14ac:dyDescent="0.25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</row>
    <row r="524" spans="1:30" ht="15.75" customHeight="1" x14ac:dyDescent="0.25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</row>
    <row r="525" spans="1:30" ht="15.75" customHeight="1" x14ac:dyDescent="0.25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</row>
    <row r="526" spans="1:30" ht="15.75" customHeight="1" x14ac:dyDescent="0.25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</row>
    <row r="527" spans="1:30" ht="15.75" customHeight="1" x14ac:dyDescent="0.25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</row>
    <row r="528" spans="1:30" ht="15.75" customHeight="1" x14ac:dyDescent="0.25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</row>
    <row r="529" spans="1:30" ht="15.75" customHeight="1" x14ac:dyDescent="0.25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</row>
    <row r="530" spans="1:30" ht="15.75" customHeight="1" x14ac:dyDescent="0.25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</row>
    <row r="531" spans="1:30" ht="15.75" customHeight="1" x14ac:dyDescent="0.25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</row>
    <row r="532" spans="1:30" ht="15.75" customHeight="1" x14ac:dyDescent="0.25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</row>
    <row r="533" spans="1:30" ht="15.75" customHeight="1" x14ac:dyDescent="0.25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</row>
    <row r="534" spans="1:30" ht="15.75" customHeight="1" x14ac:dyDescent="0.25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</row>
    <row r="535" spans="1:30" ht="15.75" customHeight="1" x14ac:dyDescent="0.25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</row>
    <row r="536" spans="1:30" ht="15.75" customHeight="1" x14ac:dyDescent="0.25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</row>
    <row r="537" spans="1:30" ht="15.75" customHeight="1" x14ac:dyDescent="0.25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</row>
    <row r="538" spans="1:30" ht="15.75" customHeight="1" x14ac:dyDescent="0.25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</row>
    <row r="539" spans="1:30" ht="15.75" customHeight="1" x14ac:dyDescent="0.25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</row>
    <row r="540" spans="1:30" ht="15.75" customHeight="1" x14ac:dyDescent="0.25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</row>
    <row r="541" spans="1:30" ht="15.75" customHeight="1" x14ac:dyDescent="0.25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</row>
    <row r="542" spans="1:30" ht="15.75" customHeight="1" x14ac:dyDescent="0.25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</row>
    <row r="543" spans="1:30" ht="15.75" customHeight="1" x14ac:dyDescent="0.25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</row>
    <row r="544" spans="1:30" ht="15.75" customHeight="1" x14ac:dyDescent="0.25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</row>
    <row r="545" spans="1:30" ht="15.75" customHeight="1" x14ac:dyDescent="0.25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</row>
    <row r="546" spans="1:30" ht="15.75" customHeight="1" x14ac:dyDescent="0.25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</row>
    <row r="547" spans="1:30" ht="15.75" customHeight="1" x14ac:dyDescent="0.25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</row>
    <row r="548" spans="1:30" ht="15.75" customHeight="1" x14ac:dyDescent="0.25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</row>
    <row r="549" spans="1:30" ht="15.75" customHeight="1" x14ac:dyDescent="0.25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</row>
    <row r="550" spans="1:30" ht="15.75" customHeight="1" x14ac:dyDescent="0.25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</row>
    <row r="551" spans="1:30" ht="15.75" customHeight="1" x14ac:dyDescent="0.25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</row>
    <row r="552" spans="1:30" ht="15.75" customHeight="1" x14ac:dyDescent="0.25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</row>
    <row r="553" spans="1:30" ht="15.75" customHeight="1" x14ac:dyDescent="0.25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</row>
    <row r="554" spans="1:30" ht="15.75" customHeight="1" x14ac:dyDescent="0.25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</row>
    <row r="555" spans="1:30" ht="15.75" customHeight="1" x14ac:dyDescent="0.25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</row>
    <row r="556" spans="1:30" ht="15.75" customHeight="1" x14ac:dyDescent="0.25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</row>
    <row r="557" spans="1:30" ht="15.75" customHeight="1" x14ac:dyDescent="0.25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</row>
    <row r="558" spans="1:30" ht="15.75" customHeight="1" x14ac:dyDescent="0.25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</row>
    <row r="559" spans="1:30" ht="15.75" customHeight="1" x14ac:dyDescent="0.25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</row>
    <row r="560" spans="1:30" ht="15.75" customHeight="1" x14ac:dyDescent="0.25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</row>
    <row r="561" spans="1:30" ht="15.75" customHeight="1" x14ac:dyDescent="0.25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</row>
    <row r="562" spans="1:30" ht="15.75" customHeight="1" x14ac:dyDescent="0.25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</row>
    <row r="563" spans="1:30" ht="15.75" customHeight="1" x14ac:dyDescent="0.25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</row>
    <row r="564" spans="1:30" ht="15.75" customHeight="1" x14ac:dyDescent="0.25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</row>
    <row r="565" spans="1:30" ht="15.75" customHeight="1" x14ac:dyDescent="0.25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</row>
    <row r="566" spans="1:30" ht="15.75" customHeight="1" x14ac:dyDescent="0.25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</row>
    <row r="567" spans="1:30" ht="15.75" customHeight="1" x14ac:dyDescent="0.25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</row>
    <row r="568" spans="1:30" ht="15.75" customHeight="1" x14ac:dyDescent="0.25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</row>
    <row r="569" spans="1:30" ht="15.75" customHeight="1" x14ac:dyDescent="0.25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</row>
    <row r="570" spans="1:30" ht="15.75" customHeight="1" x14ac:dyDescent="0.25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</row>
    <row r="571" spans="1:30" ht="15.75" customHeight="1" x14ac:dyDescent="0.25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</row>
    <row r="572" spans="1:30" ht="15.75" customHeight="1" x14ac:dyDescent="0.25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</row>
    <row r="573" spans="1:30" ht="15.75" customHeight="1" x14ac:dyDescent="0.25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</row>
    <row r="574" spans="1:30" ht="15.75" customHeight="1" x14ac:dyDescent="0.25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</row>
    <row r="575" spans="1:30" ht="15.75" customHeight="1" x14ac:dyDescent="0.25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</row>
    <row r="576" spans="1:30" ht="15.75" customHeight="1" x14ac:dyDescent="0.25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</row>
    <row r="577" spans="1:30" ht="15.75" customHeight="1" x14ac:dyDescent="0.25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</row>
    <row r="578" spans="1:30" ht="15.75" customHeight="1" x14ac:dyDescent="0.25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</row>
    <row r="579" spans="1:30" ht="15.75" customHeight="1" x14ac:dyDescent="0.25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</row>
    <row r="580" spans="1:30" ht="15.75" customHeight="1" x14ac:dyDescent="0.25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</row>
    <row r="581" spans="1:30" ht="15.75" customHeight="1" x14ac:dyDescent="0.25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</row>
    <row r="582" spans="1:30" ht="15.75" customHeight="1" x14ac:dyDescent="0.25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</row>
    <row r="583" spans="1:30" ht="15.75" customHeight="1" x14ac:dyDescent="0.25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</row>
    <row r="584" spans="1:30" ht="15.75" customHeight="1" x14ac:dyDescent="0.25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</row>
    <row r="585" spans="1:30" ht="15.75" customHeight="1" x14ac:dyDescent="0.25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</row>
    <row r="586" spans="1:30" ht="15.75" customHeight="1" x14ac:dyDescent="0.25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</row>
    <row r="587" spans="1:30" ht="15.75" customHeight="1" x14ac:dyDescent="0.25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</row>
    <row r="588" spans="1:30" ht="15.75" customHeight="1" x14ac:dyDescent="0.25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</row>
    <row r="589" spans="1:30" ht="15.75" customHeight="1" x14ac:dyDescent="0.25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</row>
    <row r="590" spans="1:30" ht="15.75" customHeight="1" x14ac:dyDescent="0.25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</row>
    <row r="591" spans="1:30" ht="15.75" customHeight="1" x14ac:dyDescent="0.25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</row>
    <row r="592" spans="1:30" ht="15.75" customHeight="1" x14ac:dyDescent="0.25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</row>
    <row r="593" spans="1:30" ht="15.75" customHeight="1" x14ac:dyDescent="0.25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</row>
    <row r="594" spans="1:30" ht="15.75" customHeight="1" x14ac:dyDescent="0.25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</row>
    <row r="595" spans="1:30" ht="15.75" customHeight="1" x14ac:dyDescent="0.25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</row>
    <row r="596" spans="1:30" ht="15.75" customHeight="1" x14ac:dyDescent="0.25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</row>
    <row r="597" spans="1:30" ht="15.75" customHeight="1" x14ac:dyDescent="0.25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</row>
    <row r="598" spans="1:30" ht="15.75" customHeight="1" x14ac:dyDescent="0.25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</row>
    <row r="599" spans="1:30" ht="15.75" customHeight="1" x14ac:dyDescent="0.25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</row>
    <row r="600" spans="1:30" ht="15.75" customHeight="1" x14ac:dyDescent="0.25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</row>
    <row r="601" spans="1:30" ht="15.75" customHeight="1" x14ac:dyDescent="0.25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</row>
    <row r="602" spans="1:30" ht="15.75" customHeight="1" x14ac:dyDescent="0.25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</row>
    <row r="603" spans="1:30" ht="15.75" customHeight="1" x14ac:dyDescent="0.25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</row>
    <row r="604" spans="1:30" ht="15.75" customHeight="1" x14ac:dyDescent="0.25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</row>
    <row r="605" spans="1:30" ht="15.75" customHeight="1" x14ac:dyDescent="0.25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</row>
    <row r="606" spans="1:30" ht="15.75" customHeight="1" x14ac:dyDescent="0.25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</row>
    <row r="607" spans="1:30" ht="15.75" customHeight="1" x14ac:dyDescent="0.25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</row>
    <row r="608" spans="1:30" ht="15.75" customHeight="1" x14ac:dyDescent="0.25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</row>
    <row r="609" spans="1:30" ht="15.75" customHeight="1" x14ac:dyDescent="0.25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</row>
    <row r="610" spans="1:30" ht="15.75" customHeight="1" x14ac:dyDescent="0.25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</row>
    <row r="611" spans="1:30" ht="15.75" customHeight="1" x14ac:dyDescent="0.25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</row>
    <row r="612" spans="1:30" ht="15.75" customHeight="1" x14ac:dyDescent="0.25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</row>
    <row r="613" spans="1:30" ht="15.75" customHeight="1" x14ac:dyDescent="0.25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</row>
    <row r="614" spans="1:30" ht="15.75" customHeight="1" x14ac:dyDescent="0.25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</row>
    <row r="615" spans="1:30" ht="15.75" customHeight="1" x14ac:dyDescent="0.25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</row>
    <row r="616" spans="1:30" ht="15.75" customHeight="1" x14ac:dyDescent="0.25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</row>
    <row r="617" spans="1:30" ht="15.75" customHeight="1" x14ac:dyDescent="0.25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</row>
    <row r="618" spans="1:30" ht="15.75" customHeight="1" x14ac:dyDescent="0.25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</row>
    <row r="619" spans="1:30" ht="15.75" customHeight="1" x14ac:dyDescent="0.25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</row>
    <row r="620" spans="1:30" ht="15.75" customHeight="1" x14ac:dyDescent="0.25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</row>
    <row r="621" spans="1:30" ht="15.75" customHeight="1" x14ac:dyDescent="0.25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</row>
    <row r="622" spans="1:30" ht="15.75" customHeight="1" x14ac:dyDescent="0.25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</row>
    <row r="623" spans="1:30" ht="15.75" customHeight="1" x14ac:dyDescent="0.25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</row>
    <row r="624" spans="1:30" ht="15.75" customHeight="1" x14ac:dyDescent="0.25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</row>
    <row r="625" spans="1:30" ht="15.75" customHeight="1" x14ac:dyDescent="0.25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</row>
    <row r="626" spans="1:30" ht="15.75" customHeight="1" x14ac:dyDescent="0.25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</row>
    <row r="627" spans="1:30" ht="15.75" customHeight="1" x14ac:dyDescent="0.25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</row>
    <row r="628" spans="1:30" ht="15.75" customHeight="1" x14ac:dyDescent="0.25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</row>
    <row r="629" spans="1:30" ht="15.75" customHeight="1" x14ac:dyDescent="0.25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</row>
    <row r="630" spans="1:30" ht="15.75" customHeight="1" x14ac:dyDescent="0.25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</row>
    <row r="631" spans="1:30" ht="15.75" customHeight="1" x14ac:dyDescent="0.25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</row>
    <row r="632" spans="1:30" ht="15.75" customHeight="1" x14ac:dyDescent="0.25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</row>
    <row r="633" spans="1:30" ht="15.75" customHeight="1" x14ac:dyDescent="0.25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</row>
    <row r="634" spans="1:30" ht="15.75" customHeight="1" x14ac:dyDescent="0.25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</row>
    <row r="635" spans="1:30" ht="15.75" customHeight="1" x14ac:dyDescent="0.25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</row>
    <row r="636" spans="1:30" ht="15.75" customHeight="1" x14ac:dyDescent="0.25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</row>
    <row r="637" spans="1:30" ht="15.75" customHeight="1" x14ac:dyDescent="0.25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</row>
    <row r="638" spans="1:30" ht="15.75" customHeight="1" x14ac:dyDescent="0.25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</row>
    <row r="639" spans="1:30" ht="15.75" customHeight="1" x14ac:dyDescent="0.25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</row>
    <row r="640" spans="1:30" ht="15.75" customHeight="1" x14ac:dyDescent="0.25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</row>
    <row r="641" spans="1:30" ht="15.75" customHeight="1" x14ac:dyDescent="0.25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</row>
    <row r="642" spans="1:30" ht="15.75" customHeight="1" x14ac:dyDescent="0.25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</row>
    <row r="643" spans="1:30" ht="15.75" customHeight="1" x14ac:dyDescent="0.25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</row>
    <row r="644" spans="1:30" ht="15.75" customHeight="1" x14ac:dyDescent="0.25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</row>
    <row r="645" spans="1:30" ht="15.75" customHeight="1" x14ac:dyDescent="0.25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</row>
    <row r="646" spans="1:30" ht="15.75" customHeight="1" x14ac:dyDescent="0.25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</row>
    <row r="647" spans="1:30" ht="15.75" customHeight="1" x14ac:dyDescent="0.25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</row>
    <row r="648" spans="1:30" ht="15.75" customHeight="1" x14ac:dyDescent="0.25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</row>
    <row r="649" spans="1:30" ht="15.75" customHeight="1" x14ac:dyDescent="0.25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</row>
    <row r="650" spans="1:30" ht="15.75" customHeight="1" x14ac:dyDescent="0.25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</row>
    <row r="651" spans="1:30" ht="15.75" customHeight="1" x14ac:dyDescent="0.25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</row>
    <row r="652" spans="1:30" ht="15.75" customHeight="1" x14ac:dyDescent="0.25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</row>
    <row r="653" spans="1:30" ht="15.75" customHeight="1" x14ac:dyDescent="0.25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</row>
    <row r="654" spans="1:30" ht="15.75" customHeight="1" x14ac:dyDescent="0.25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</row>
    <row r="655" spans="1:30" ht="15.75" customHeight="1" x14ac:dyDescent="0.25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</row>
    <row r="656" spans="1:30" ht="15.75" customHeight="1" x14ac:dyDescent="0.25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</row>
    <row r="657" spans="1:30" ht="15.75" customHeight="1" x14ac:dyDescent="0.25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</row>
    <row r="658" spans="1:30" ht="15.75" customHeight="1" x14ac:dyDescent="0.25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</row>
    <row r="659" spans="1:30" ht="15.75" customHeight="1" x14ac:dyDescent="0.25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</row>
    <row r="660" spans="1:30" ht="15.75" customHeight="1" x14ac:dyDescent="0.25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</row>
    <row r="661" spans="1:30" ht="15.75" customHeight="1" x14ac:dyDescent="0.25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</row>
    <row r="662" spans="1:30" ht="15.75" customHeight="1" x14ac:dyDescent="0.25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</row>
    <row r="663" spans="1:30" ht="15.75" customHeight="1" x14ac:dyDescent="0.25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</row>
    <row r="664" spans="1:30" ht="15.75" customHeight="1" x14ac:dyDescent="0.25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</row>
    <row r="665" spans="1:30" ht="15.75" customHeight="1" x14ac:dyDescent="0.25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</row>
    <row r="666" spans="1:30" ht="15.75" customHeight="1" x14ac:dyDescent="0.25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</row>
    <row r="667" spans="1:30" ht="15.75" customHeight="1" x14ac:dyDescent="0.25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</row>
    <row r="668" spans="1:30" ht="15.75" customHeight="1" x14ac:dyDescent="0.25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</row>
    <row r="669" spans="1:30" ht="15.75" customHeight="1" x14ac:dyDescent="0.25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</row>
    <row r="670" spans="1:30" ht="15.75" customHeight="1" x14ac:dyDescent="0.25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</row>
    <row r="671" spans="1:30" ht="15.75" customHeight="1" x14ac:dyDescent="0.25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</row>
    <row r="672" spans="1:30" ht="15.75" customHeight="1" x14ac:dyDescent="0.25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</row>
    <row r="673" spans="1:30" ht="15.75" customHeight="1" x14ac:dyDescent="0.25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</row>
    <row r="674" spans="1:30" ht="15.75" customHeight="1" x14ac:dyDescent="0.25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</row>
    <row r="675" spans="1:30" ht="15.75" customHeight="1" x14ac:dyDescent="0.25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</row>
    <row r="676" spans="1:30" ht="15.75" customHeight="1" x14ac:dyDescent="0.25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</row>
    <row r="677" spans="1:30" ht="15.75" customHeight="1" x14ac:dyDescent="0.25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</row>
    <row r="678" spans="1:30" ht="15.75" customHeight="1" x14ac:dyDescent="0.25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</row>
    <row r="679" spans="1:30" ht="15.75" customHeight="1" x14ac:dyDescent="0.25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</row>
    <row r="680" spans="1:30" ht="15.75" customHeight="1" x14ac:dyDescent="0.25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</row>
    <row r="681" spans="1:30" ht="15.75" customHeight="1" x14ac:dyDescent="0.25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</row>
    <row r="682" spans="1:30" ht="15.75" customHeight="1" x14ac:dyDescent="0.25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</row>
    <row r="683" spans="1:30" ht="15.75" customHeight="1" x14ac:dyDescent="0.25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</row>
    <row r="684" spans="1:30" ht="15.75" customHeight="1" x14ac:dyDescent="0.25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</row>
    <row r="685" spans="1:30" ht="15.75" customHeight="1" x14ac:dyDescent="0.25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</row>
    <row r="686" spans="1:30" ht="15.75" customHeight="1" x14ac:dyDescent="0.25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</row>
    <row r="687" spans="1:30" ht="15.75" customHeight="1" x14ac:dyDescent="0.25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</row>
    <row r="688" spans="1:30" ht="15.75" customHeight="1" x14ac:dyDescent="0.25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</row>
    <row r="689" spans="1:30" ht="15.75" customHeight="1" x14ac:dyDescent="0.25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</row>
    <row r="690" spans="1:30" ht="15.75" customHeight="1" x14ac:dyDescent="0.25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</row>
    <row r="691" spans="1:30" ht="15.75" customHeight="1" x14ac:dyDescent="0.25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</row>
    <row r="692" spans="1:30" ht="15.75" customHeight="1" x14ac:dyDescent="0.25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</row>
    <row r="693" spans="1:30" ht="15.75" customHeight="1" x14ac:dyDescent="0.25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</row>
    <row r="694" spans="1:30" ht="15.75" customHeight="1" x14ac:dyDescent="0.25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</row>
    <row r="695" spans="1:30" ht="15.75" customHeight="1" x14ac:dyDescent="0.25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</row>
    <row r="696" spans="1:30" ht="15.75" customHeight="1" x14ac:dyDescent="0.25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</row>
    <row r="697" spans="1:30" ht="15.75" customHeight="1" x14ac:dyDescent="0.25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</row>
    <row r="698" spans="1:30" ht="15.75" customHeight="1" x14ac:dyDescent="0.25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</row>
    <row r="699" spans="1:30" ht="15.75" customHeight="1" x14ac:dyDescent="0.25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</row>
    <row r="700" spans="1:30" ht="15.75" customHeight="1" x14ac:dyDescent="0.25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</row>
    <row r="701" spans="1:30" ht="15.75" customHeight="1" x14ac:dyDescent="0.25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</row>
    <row r="702" spans="1:30" ht="15.75" customHeight="1" x14ac:dyDescent="0.25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</row>
    <row r="703" spans="1:30" ht="15.75" customHeight="1" x14ac:dyDescent="0.25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</row>
    <row r="704" spans="1:30" ht="15.75" customHeight="1" x14ac:dyDescent="0.25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</row>
    <row r="705" spans="1:30" ht="15.75" customHeight="1" x14ac:dyDescent="0.25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</row>
    <row r="706" spans="1:30" ht="15.75" customHeight="1" x14ac:dyDescent="0.25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</row>
    <row r="707" spans="1:30" ht="15.75" customHeight="1" x14ac:dyDescent="0.25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</row>
    <row r="708" spans="1:30" ht="15.75" customHeight="1" x14ac:dyDescent="0.25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</row>
    <row r="709" spans="1:30" ht="15.75" customHeight="1" x14ac:dyDescent="0.25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</row>
    <row r="710" spans="1:30" ht="15.75" customHeight="1" x14ac:dyDescent="0.25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</row>
    <row r="711" spans="1:30" ht="15.75" customHeight="1" x14ac:dyDescent="0.25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</row>
    <row r="712" spans="1:30" ht="15.75" customHeight="1" x14ac:dyDescent="0.25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</row>
    <row r="713" spans="1:30" ht="15.75" customHeight="1" x14ac:dyDescent="0.25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</row>
    <row r="714" spans="1:30" ht="15.75" customHeight="1" x14ac:dyDescent="0.25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</row>
    <row r="715" spans="1:30" ht="15.75" customHeight="1" x14ac:dyDescent="0.25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</row>
    <row r="716" spans="1:30" ht="15.75" customHeight="1" x14ac:dyDescent="0.25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</row>
    <row r="717" spans="1:30" ht="15.75" customHeight="1" x14ac:dyDescent="0.25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</row>
    <row r="718" spans="1:30" ht="15.75" customHeight="1" x14ac:dyDescent="0.25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</row>
    <row r="719" spans="1:30" ht="15.75" customHeight="1" x14ac:dyDescent="0.25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</row>
    <row r="720" spans="1:30" ht="15.75" customHeight="1" x14ac:dyDescent="0.25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</row>
    <row r="721" spans="1:30" ht="15.75" customHeight="1" x14ac:dyDescent="0.25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</row>
    <row r="722" spans="1:30" ht="15.75" customHeight="1" x14ac:dyDescent="0.25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</row>
    <row r="723" spans="1:30" ht="15.75" customHeight="1" x14ac:dyDescent="0.25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</row>
    <row r="724" spans="1:30" ht="15.75" customHeight="1" x14ac:dyDescent="0.25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</row>
    <row r="725" spans="1:30" ht="15.75" customHeight="1" x14ac:dyDescent="0.25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</row>
    <row r="726" spans="1:30" ht="15.75" customHeight="1" x14ac:dyDescent="0.25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</row>
    <row r="727" spans="1:30" ht="15.75" customHeight="1" x14ac:dyDescent="0.25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</row>
    <row r="728" spans="1:30" ht="15.75" customHeight="1" x14ac:dyDescent="0.25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</row>
    <row r="729" spans="1:30" ht="15.75" customHeight="1" x14ac:dyDescent="0.25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</row>
    <row r="730" spans="1:30" ht="15.75" customHeight="1" x14ac:dyDescent="0.25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</row>
    <row r="731" spans="1:30" ht="15.75" customHeight="1" x14ac:dyDescent="0.25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</row>
    <row r="732" spans="1:30" ht="15.75" customHeight="1" x14ac:dyDescent="0.25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</row>
    <row r="733" spans="1:30" ht="15.75" customHeight="1" x14ac:dyDescent="0.25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</row>
    <row r="734" spans="1:30" ht="15.75" customHeight="1" x14ac:dyDescent="0.25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</row>
    <row r="735" spans="1:30" ht="15.75" customHeight="1" x14ac:dyDescent="0.25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</row>
    <row r="736" spans="1:30" ht="15.75" customHeight="1" x14ac:dyDescent="0.25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</row>
    <row r="737" spans="1:30" ht="15.75" customHeight="1" x14ac:dyDescent="0.25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</row>
    <row r="738" spans="1:30" ht="15.75" customHeight="1" x14ac:dyDescent="0.25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</row>
    <row r="739" spans="1:30" ht="15.75" customHeight="1" x14ac:dyDescent="0.25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</row>
    <row r="740" spans="1:30" ht="15.75" customHeight="1" x14ac:dyDescent="0.25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</row>
    <row r="741" spans="1:30" ht="15.75" customHeight="1" x14ac:dyDescent="0.25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</row>
    <row r="742" spans="1:30" ht="15.75" customHeight="1" x14ac:dyDescent="0.25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</row>
    <row r="743" spans="1:30" ht="15.75" customHeight="1" x14ac:dyDescent="0.25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</row>
    <row r="744" spans="1:30" ht="15.75" customHeight="1" x14ac:dyDescent="0.25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</row>
    <row r="745" spans="1:30" ht="15.75" customHeight="1" x14ac:dyDescent="0.25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</row>
    <row r="746" spans="1:30" ht="15.75" customHeight="1" x14ac:dyDescent="0.25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</row>
    <row r="747" spans="1:30" ht="15.75" customHeight="1" x14ac:dyDescent="0.25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</row>
    <row r="748" spans="1:30" ht="15.75" customHeight="1" x14ac:dyDescent="0.25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</row>
    <row r="749" spans="1:30" ht="15.75" customHeight="1" x14ac:dyDescent="0.25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</row>
    <row r="750" spans="1:30" ht="15.75" customHeight="1" x14ac:dyDescent="0.25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</row>
    <row r="751" spans="1:30" ht="15.75" customHeight="1" x14ac:dyDescent="0.25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</row>
    <row r="752" spans="1:30" ht="15.75" customHeight="1" x14ac:dyDescent="0.25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</row>
    <row r="753" spans="1:30" ht="15.75" customHeight="1" x14ac:dyDescent="0.25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</row>
    <row r="754" spans="1:30" ht="15.75" customHeight="1" x14ac:dyDescent="0.25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</row>
    <row r="755" spans="1:30" ht="15.75" customHeight="1" x14ac:dyDescent="0.25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</row>
    <row r="756" spans="1:30" ht="15.75" customHeight="1" x14ac:dyDescent="0.25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</row>
    <row r="757" spans="1:30" ht="15.75" customHeight="1" x14ac:dyDescent="0.25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</row>
    <row r="758" spans="1:30" ht="15.75" customHeight="1" x14ac:dyDescent="0.25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</row>
    <row r="759" spans="1:30" ht="15.75" customHeight="1" x14ac:dyDescent="0.25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</row>
    <row r="760" spans="1:30" ht="15.75" customHeight="1" x14ac:dyDescent="0.25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</row>
    <row r="761" spans="1:30" ht="15.75" customHeight="1" x14ac:dyDescent="0.25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</row>
    <row r="762" spans="1:30" ht="15.75" customHeight="1" x14ac:dyDescent="0.25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</row>
    <row r="763" spans="1:30" ht="15.75" customHeight="1" x14ac:dyDescent="0.25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</row>
    <row r="764" spans="1:30" ht="15.75" customHeight="1" x14ac:dyDescent="0.25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</row>
    <row r="765" spans="1:30" ht="15.75" customHeight="1" x14ac:dyDescent="0.25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</row>
    <row r="766" spans="1:30" ht="15.75" customHeight="1" x14ac:dyDescent="0.25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</row>
    <row r="767" spans="1:30" ht="15.75" customHeight="1" x14ac:dyDescent="0.25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</row>
    <row r="768" spans="1:30" ht="15.75" customHeight="1" x14ac:dyDescent="0.25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</row>
    <row r="769" spans="1:30" ht="15.75" customHeight="1" x14ac:dyDescent="0.25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</row>
    <row r="770" spans="1:30" ht="15.75" customHeight="1" x14ac:dyDescent="0.25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</row>
    <row r="771" spans="1:30" ht="15.75" customHeight="1" x14ac:dyDescent="0.25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</row>
    <row r="772" spans="1:30" ht="15.75" customHeight="1" x14ac:dyDescent="0.25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</row>
    <row r="773" spans="1:30" ht="15.75" customHeight="1" x14ac:dyDescent="0.25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</row>
    <row r="774" spans="1:30" ht="15.75" customHeight="1" x14ac:dyDescent="0.25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</row>
    <row r="775" spans="1:30" ht="15.75" customHeight="1" x14ac:dyDescent="0.25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</row>
    <row r="776" spans="1:30" ht="15.75" customHeight="1" x14ac:dyDescent="0.25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</row>
    <row r="777" spans="1:30" ht="15.75" customHeight="1" x14ac:dyDescent="0.25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</row>
    <row r="778" spans="1:30" ht="15.75" customHeight="1" x14ac:dyDescent="0.25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</row>
    <row r="779" spans="1:30" ht="15.75" customHeight="1" x14ac:dyDescent="0.25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</row>
    <row r="780" spans="1:30" ht="15.75" customHeight="1" x14ac:dyDescent="0.25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</row>
    <row r="781" spans="1:30" ht="15.75" customHeight="1" x14ac:dyDescent="0.25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</row>
    <row r="782" spans="1:30" ht="15.75" customHeight="1" x14ac:dyDescent="0.25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</row>
    <row r="783" spans="1:30" ht="15.75" customHeight="1" x14ac:dyDescent="0.25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</row>
    <row r="784" spans="1:30" ht="15.75" customHeight="1" x14ac:dyDescent="0.25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</row>
    <row r="785" spans="1:30" ht="15.75" customHeight="1" x14ac:dyDescent="0.25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</row>
    <row r="786" spans="1:30" ht="15.75" customHeight="1" x14ac:dyDescent="0.25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</row>
    <row r="787" spans="1:30" ht="15.75" customHeight="1" x14ac:dyDescent="0.25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</row>
    <row r="788" spans="1:30" ht="15.75" customHeight="1" x14ac:dyDescent="0.25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</row>
    <row r="789" spans="1:30" ht="15.75" customHeight="1" x14ac:dyDescent="0.25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</row>
    <row r="790" spans="1:30" ht="15.75" customHeight="1" x14ac:dyDescent="0.25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</row>
    <row r="791" spans="1:30" ht="15.75" customHeight="1" x14ac:dyDescent="0.25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</row>
    <row r="792" spans="1:30" ht="15.75" customHeight="1" x14ac:dyDescent="0.25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</row>
    <row r="793" spans="1:30" ht="15.75" customHeight="1" x14ac:dyDescent="0.25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</row>
    <row r="794" spans="1:30" ht="15.75" customHeight="1" x14ac:dyDescent="0.25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</row>
    <row r="795" spans="1:30" ht="15.75" customHeight="1" x14ac:dyDescent="0.25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</row>
    <row r="796" spans="1:30" ht="15.75" customHeight="1" x14ac:dyDescent="0.25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</row>
    <row r="797" spans="1:30" ht="15.75" customHeight="1" x14ac:dyDescent="0.25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</row>
    <row r="798" spans="1:30" ht="15.75" customHeight="1" x14ac:dyDescent="0.25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</row>
    <row r="799" spans="1:30" ht="15.75" customHeight="1" x14ac:dyDescent="0.25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</row>
    <row r="800" spans="1:30" ht="15.75" customHeight="1" x14ac:dyDescent="0.25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</row>
    <row r="801" spans="1:30" ht="15.75" customHeight="1" x14ac:dyDescent="0.25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</row>
    <row r="802" spans="1:30" ht="15.75" customHeight="1" x14ac:dyDescent="0.25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</row>
    <row r="803" spans="1:30" ht="15.75" customHeight="1" x14ac:dyDescent="0.25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</row>
    <row r="804" spans="1:30" ht="15.75" customHeight="1" x14ac:dyDescent="0.25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</row>
    <row r="805" spans="1:30" ht="15.75" customHeight="1" x14ac:dyDescent="0.25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</row>
    <row r="806" spans="1:30" ht="15.75" customHeight="1" x14ac:dyDescent="0.25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</row>
    <row r="807" spans="1:30" ht="15.75" customHeight="1" x14ac:dyDescent="0.25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</row>
    <row r="808" spans="1:30" ht="15.75" customHeight="1" x14ac:dyDescent="0.25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</row>
    <row r="809" spans="1:30" ht="15.75" customHeight="1" x14ac:dyDescent="0.25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</row>
    <row r="810" spans="1:30" ht="15.75" customHeight="1" x14ac:dyDescent="0.25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</row>
    <row r="811" spans="1:30" ht="15.75" customHeight="1" x14ac:dyDescent="0.25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</row>
    <row r="812" spans="1:30" ht="15.75" customHeight="1" x14ac:dyDescent="0.25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</row>
    <row r="813" spans="1:30" ht="15.75" customHeight="1" x14ac:dyDescent="0.25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</row>
    <row r="814" spans="1:30" ht="15.75" customHeight="1" x14ac:dyDescent="0.25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</row>
    <row r="815" spans="1:30" ht="15.75" customHeight="1" x14ac:dyDescent="0.25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</row>
    <row r="816" spans="1:30" ht="15.75" customHeight="1" x14ac:dyDescent="0.25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</row>
    <row r="817" spans="1:30" ht="15.75" customHeight="1" x14ac:dyDescent="0.25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</row>
    <row r="818" spans="1:30" ht="15.75" customHeight="1" x14ac:dyDescent="0.25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</row>
    <row r="819" spans="1:30" ht="15.75" customHeight="1" x14ac:dyDescent="0.25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</row>
    <row r="820" spans="1:30" ht="15.75" customHeight="1" x14ac:dyDescent="0.25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</row>
    <row r="821" spans="1:30" ht="15.75" customHeight="1" x14ac:dyDescent="0.25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</row>
    <row r="822" spans="1:30" ht="15.75" customHeight="1" x14ac:dyDescent="0.25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</row>
    <row r="823" spans="1:30" ht="15.75" customHeight="1" x14ac:dyDescent="0.25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</row>
    <row r="824" spans="1:30" ht="15.75" customHeight="1" x14ac:dyDescent="0.25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</row>
    <row r="825" spans="1:30" ht="15.75" customHeight="1" x14ac:dyDescent="0.25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</row>
    <row r="826" spans="1:30" ht="15.75" customHeight="1" x14ac:dyDescent="0.25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</row>
    <row r="827" spans="1:30" ht="15.75" customHeight="1" x14ac:dyDescent="0.25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</row>
    <row r="828" spans="1:30" ht="15.75" customHeight="1" x14ac:dyDescent="0.25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</row>
    <row r="829" spans="1:30" ht="15.75" customHeight="1" x14ac:dyDescent="0.25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</row>
    <row r="830" spans="1:30" ht="15.75" customHeight="1" x14ac:dyDescent="0.25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</row>
    <row r="831" spans="1:30" ht="15.75" customHeight="1" x14ac:dyDescent="0.25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</row>
    <row r="832" spans="1:30" ht="15.75" customHeight="1" x14ac:dyDescent="0.25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</row>
    <row r="833" spans="1:30" ht="15.75" customHeight="1" x14ac:dyDescent="0.25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</row>
    <row r="834" spans="1:30" ht="15.75" customHeight="1" x14ac:dyDescent="0.25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</row>
    <row r="835" spans="1:30" ht="15.75" customHeight="1" x14ac:dyDescent="0.25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</row>
    <row r="836" spans="1:30" ht="15.75" customHeight="1" x14ac:dyDescent="0.25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</row>
    <row r="837" spans="1:30" ht="15.75" customHeight="1" x14ac:dyDescent="0.25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</row>
    <row r="838" spans="1:30" ht="15.75" customHeight="1" x14ac:dyDescent="0.25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</row>
    <row r="839" spans="1:30" ht="15.75" customHeight="1" x14ac:dyDescent="0.25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</row>
    <row r="840" spans="1:30" ht="15.75" customHeight="1" x14ac:dyDescent="0.25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</row>
    <row r="841" spans="1:30" ht="15.75" customHeight="1" x14ac:dyDescent="0.25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</row>
    <row r="842" spans="1:30" ht="15.75" customHeight="1" x14ac:dyDescent="0.25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</row>
    <row r="843" spans="1:30" ht="15.75" customHeight="1" x14ac:dyDescent="0.25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</row>
    <row r="844" spans="1:30" ht="15.75" customHeight="1" x14ac:dyDescent="0.25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</row>
    <row r="845" spans="1:30" ht="15.75" customHeight="1" x14ac:dyDescent="0.25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</row>
    <row r="846" spans="1:30" ht="15.75" customHeight="1" x14ac:dyDescent="0.25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</row>
    <row r="847" spans="1:30" ht="15.75" customHeight="1" x14ac:dyDescent="0.25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</row>
    <row r="848" spans="1:30" ht="15.75" customHeight="1" x14ac:dyDescent="0.25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</row>
    <row r="849" spans="1:30" ht="15.75" customHeight="1" x14ac:dyDescent="0.25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</row>
    <row r="850" spans="1:30" ht="15.75" customHeight="1" x14ac:dyDescent="0.25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</row>
    <row r="851" spans="1:30" ht="15.75" customHeight="1" x14ac:dyDescent="0.25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</row>
    <row r="852" spans="1:30" ht="15.75" customHeight="1" x14ac:dyDescent="0.25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</row>
    <row r="853" spans="1:30" ht="15.75" customHeight="1" x14ac:dyDescent="0.25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</row>
    <row r="854" spans="1:30" ht="15.75" customHeight="1" x14ac:dyDescent="0.25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</row>
    <row r="855" spans="1:30" ht="15.75" customHeight="1" x14ac:dyDescent="0.25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</row>
    <row r="856" spans="1:30" ht="15.75" customHeight="1" x14ac:dyDescent="0.25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</row>
    <row r="857" spans="1:30" ht="15.75" customHeight="1" x14ac:dyDescent="0.25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</row>
    <row r="858" spans="1:30" ht="15.75" customHeight="1" x14ac:dyDescent="0.25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</row>
    <row r="859" spans="1:30" ht="15.75" customHeight="1" x14ac:dyDescent="0.25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</row>
    <row r="860" spans="1:30" ht="15.75" customHeight="1" x14ac:dyDescent="0.25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</row>
    <row r="861" spans="1:30" ht="15.75" customHeight="1" x14ac:dyDescent="0.25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</row>
    <row r="862" spans="1:30" ht="15.75" customHeight="1" x14ac:dyDescent="0.25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</row>
    <row r="863" spans="1:30" ht="15.75" customHeight="1" x14ac:dyDescent="0.25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</row>
    <row r="864" spans="1:30" ht="15.75" customHeight="1" x14ac:dyDescent="0.25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</row>
    <row r="865" spans="1:30" ht="15.75" customHeight="1" x14ac:dyDescent="0.25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</row>
    <row r="866" spans="1:30" ht="15.75" customHeight="1" x14ac:dyDescent="0.25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</row>
    <row r="867" spans="1:30" ht="15.75" customHeight="1" x14ac:dyDescent="0.25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</row>
    <row r="868" spans="1:30" ht="15.75" customHeight="1" x14ac:dyDescent="0.25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</row>
    <row r="869" spans="1:30" ht="15.75" customHeight="1" x14ac:dyDescent="0.25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</row>
    <row r="870" spans="1:30" ht="15.75" customHeight="1" x14ac:dyDescent="0.25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</row>
    <row r="871" spans="1:30" ht="15.75" customHeight="1" x14ac:dyDescent="0.25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</row>
    <row r="872" spans="1:30" ht="15.75" customHeight="1" x14ac:dyDescent="0.25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</row>
    <row r="873" spans="1:30" ht="15.75" customHeight="1" x14ac:dyDescent="0.25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</row>
    <row r="874" spans="1:30" ht="15.75" customHeight="1" x14ac:dyDescent="0.25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</row>
    <row r="875" spans="1:30" ht="15.75" customHeight="1" x14ac:dyDescent="0.25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</row>
    <row r="876" spans="1:30" ht="15.75" customHeight="1" x14ac:dyDescent="0.25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</row>
    <row r="877" spans="1:30" ht="15.75" customHeight="1" x14ac:dyDescent="0.25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</row>
    <row r="878" spans="1:30" ht="15.75" customHeight="1" x14ac:dyDescent="0.25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</row>
    <row r="879" spans="1:30" ht="15.75" customHeight="1" x14ac:dyDescent="0.25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</row>
    <row r="880" spans="1:30" ht="15.75" customHeight="1" x14ac:dyDescent="0.25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</row>
    <row r="881" spans="1:30" ht="15.75" customHeight="1" x14ac:dyDescent="0.25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</row>
    <row r="882" spans="1:30" ht="15.75" customHeight="1" x14ac:dyDescent="0.25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</row>
    <row r="883" spans="1:30" ht="15.75" customHeight="1" x14ac:dyDescent="0.25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</row>
    <row r="884" spans="1:30" ht="15.75" customHeight="1" x14ac:dyDescent="0.25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</row>
    <row r="885" spans="1:30" ht="15.75" customHeight="1" x14ac:dyDescent="0.25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</row>
    <row r="886" spans="1:30" ht="15.75" customHeight="1" x14ac:dyDescent="0.25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</row>
    <row r="887" spans="1:30" ht="15.75" customHeight="1" x14ac:dyDescent="0.25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</row>
    <row r="888" spans="1:30" ht="15.75" customHeight="1" x14ac:dyDescent="0.25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</row>
    <row r="889" spans="1:30" ht="15.75" customHeight="1" x14ac:dyDescent="0.25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</row>
    <row r="890" spans="1:30" ht="15.75" customHeight="1" x14ac:dyDescent="0.25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</row>
    <row r="891" spans="1:30" ht="15.75" customHeight="1" x14ac:dyDescent="0.25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</row>
    <row r="892" spans="1:30" ht="15.75" customHeight="1" x14ac:dyDescent="0.25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</row>
    <row r="893" spans="1:30" ht="15.75" customHeight="1" x14ac:dyDescent="0.25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</row>
    <row r="894" spans="1:30" ht="15.75" customHeight="1" x14ac:dyDescent="0.25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</row>
    <row r="895" spans="1:30" ht="15.75" customHeight="1" x14ac:dyDescent="0.25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</row>
    <row r="896" spans="1:30" ht="15.75" customHeight="1" x14ac:dyDescent="0.25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</row>
    <row r="897" spans="1:30" ht="15.75" customHeight="1" x14ac:dyDescent="0.25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</row>
    <row r="898" spans="1:30" ht="15.75" customHeight="1" x14ac:dyDescent="0.25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</row>
    <row r="899" spans="1:30" ht="15.75" customHeight="1" x14ac:dyDescent="0.25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</row>
    <row r="900" spans="1:30" ht="15.75" customHeight="1" x14ac:dyDescent="0.25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</row>
    <row r="901" spans="1:30" ht="15.75" customHeight="1" x14ac:dyDescent="0.25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</row>
    <row r="902" spans="1:30" ht="15.75" customHeight="1" x14ac:dyDescent="0.25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</row>
    <row r="903" spans="1:30" ht="15.75" customHeight="1" x14ac:dyDescent="0.25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</row>
    <row r="904" spans="1:30" ht="15.75" customHeight="1" x14ac:dyDescent="0.25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</row>
    <row r="905" spans="1:30" ht="15.75" customHeight="1" x14ac:dyDescent="0.25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</row>
    <row r="906" spans="1:30" ht="15.75" customHeight="1" x14ac:dyDescent="0.25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</row>
    <row r="907" spans="1:30" ht="15.75" customHeight="1" x14ac:dyDescent="0.25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</row>
    <row r="908" spans="1:30" ht="15.75" customHeight="1" x14ac:dyDescent="0.25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</row>
    <row r="909" spans="1:30" ht="15.75" customHeight="1" x14ac:dyDescent="0.25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</row>
    <row r="910" spans="1:30" ht="15.75" customHeight="1" x14ac:dyDescent="0.25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</row>
    <row r="911" spans="1:30" ht="15.75" customHeight="1" x14ac:dyDescent="0.25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</row>
    <row r="912" spans="1:30" ht="15.75" customHeight="1" x14ac:dyDescent="0.25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</row>
    <row r="913" spans="1:30" ht="15.75" customHeight="1" x14ac:dyDescent="0.25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</row>
    <row r="914" spans="1:30" ht="15.75" customHeight="1" x14ac:dyDescent="0.25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</row>
    <row r="915" spans="1:30" ht="15.75" customHeight="1" x14ac:dyDescent="0.25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</row>
    <row r="916" spans="1:30" ht="15.75" customHeight="1" x14ac:dyDescent="0.25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</row>
    <row r="917" spans="1:30" ht="15.75" customHeight="1" x14ac:dyDescent="0.25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</row>
    <row r="918" spans="1:30" ht="15.75" customHeight="1" x14ac:dyDescent="0.25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</row>
    <row r="919" spans="1:30" ht="15.75" customHeight="1" x14ac:dyDescent="0.25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</row>
    <row r="920" spans="1:30" ht="15.75" customHeight="1" x14ac:dyDescent="0.25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</row>
    <row r="921" spans="1:30" ht="15.75" customHeight="1" x14ac:dyDescent="0.25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</row>
    <row r="922" spans="1:30" ht="15.75" customHeight="1" x14ac:dyDescent="0.25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</row>
    <row r="923" spans="1:30" ht="15.75" customHeight="1" x14ac:dyDescent="0.25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</row>
    <row r="924" spans="1:30" ht="15.75" customHeight="1" x14ac:dyDescent="0.25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</row>
    <row r="925" spans="1:30" ht="15.75" customHeight="1" x14ac:dyDescent="0.25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</row>
    <row r="926" spans="1:30" ht="15.75" customHeight="1" x14ac:dyDescent="0.25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</row>
    <row r="927" spans="1:30" ht="15.75" customHeight="1" x14ac:dyDescent="0.25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</row>
    <row r="928" spans="1:30" ht="15.75" customHeight="1" x14ac:dyDescent="0.25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</row>
    <row r="929" spans="1:30" ht="15.75" customHeight="1" x14ac:dyDescent="0.25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</row>
    <row r="930" spans="1:30" ht="15.75" customHeight="1" x14ac:dyDescent="0.25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</row>
    <row r="931" spans="1:30" ht="15.75" customHeight="1" x14ac:dyDescent="0.25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</row>
    <row r="932" spans="1:30" ht="15.75" customHeight="1" x14ac:dyDescent="0.25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</row>
    <row r="933" spans="1:30" ht="15.75" customHeight="1" x14ac:dyDescent="0.25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</row>
    <row r="934" spans="1:30" ht="15.75" customHeight="1" x14ac:dyDescent="0.25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</row>
    <row r="935" spans="1:30" ht="15.75" customHeight="1" x14ac:dyDescent="0.25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</row>
    <row r="936" spans="1:30" ht="15.75" customHeight="1" x14ac:dyDescent="0.25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</row>
    <row r="937" spans="1:30" ht="15.75" customHeight="1" x14ac:dyDescent="0.25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</row>
    <row r="938" spans="1:30" ht="15.75" customHeight="1" x14ac:dyDescent="0.25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</row>
    <row r="939" spans="1:30" ht="15.75" customHeight="1" x14ac:dyDescent="0.25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</row>
    <row r="940" spans="1:30" ht="15.75" customHeight="1" x14ac:dyDescent="0.25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</row>
    <row r="941" spans="1:30" ht="15.75" customHeight="1" x14ac:dyDescent="0.25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</row>
    <row r="942" spans="1:30" ht="15.75" customHeight="1" x14ac:dyDescent="0.25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</row>
    <row r="943" spans="1:30" ht="15.75" customHeight="1" x14ac:dyDescent="0.25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</row>
  </sheetData>
  <mergeCells count="31">
    <mergeCell ref="A56:I56"/>
    <mergeCell ref="A17:I17"/>
    <mergeCell ref="A73:D73"/>
    <mergeCell ref="B46:B55"/>
    <mergeCell ref="C46:C55"/>
    <mergeCell ref="E46:E55"/>
    <mergeCell ref="G46:G55"/>
    <mergeCell ref="A61:E61"/>
    <mergeCell ref="A63:B63"/>
    <mergeCell ref="A64:D64"/>
    <mergeCell ref="A67:D67"/>
    <mergeCell ref="A70:D70"/>
    <mergeCell ref="B19:B24"/>
    <mergeCell ref="B26:B27"/>
    <mergeCell ref="C26:C27"/>
    <mergeCell ref="E26:E27"/>
    <mergeCell ref="B31:B39"/>
    <mergeCell ref="C31:C39"/>
    <mergeCell ref="E31:E39"/>
    <mergeCell ref="B41:B44"/>
    <mergeCell ref="C41:C44"/>
    <mergeCell ref="E41:E44"/>
    <mergeCell ref="G41:G44"/>
    <mergeCell ref="A1:E1"/>
    <mergeCell ref="K1:P1"/>
    <mergeCell ref="A3:I3"/>
    <mergeCell ref="C19:C24"/>
    <mergeCell ref="E19:E24"/>
    <mergeCell ref="G19:G24"/>
    <mergeCell ref="G26:G27"/>
    <mergeCell ref="G31:G39"/>
  </mergeCells>
  <conditionalFormatting sqref="P4:P9">
    <cfRule type="colorScale" priority="1">
      <colorScale>
        <cfvo type="min"/>
        <cfvo type="max"/>
        <color rgb="FFFFFFFF"/>
        <color rgb="FF57BB8A"/>
      </colorScale>
    </cfRule>
  </conditionalFormatting>
  <dataValidations count="2">
    <dataValidation type="list" allowBlank="1" showErrorMessage="1" sqref="G4:G16 G19 G26 G29 G31 G41 G46 G57:G60" xr:uid="{00000000-0002-0000-0200-000000000000}">
      <formula1>"Pago,Pendente"</formula1>
    </dataValidation>
    <dataValidation type="list" allowBlank="1" showErrorMessage="1" sqref="P4:P8" xr:uid="{00000000-0002-0000-0200-000001000000}">
      <formula1>"Recebido,Pendente"</formula1>
    </dataValidation>
  </dataValidations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953"/>
  <sheetViews>
    <sheetView workbookViewId="0"/>
  </sheetViews>
  <sheetFormatPr defaultColWidth="12.6640625" defaultRowHeight="15" customHeight="1" x14ac:dyDescent="0.25"/>
  <cols>
    <col min="1" max="1" width="51.6640625" customWidth="1"/>
    <col min="2" max="2" width="18" customWidth="1"/>
    <col min="3" max="3" width="16" customWidth="1"/>
    <col min="4" max="4" width="14" customWidth="1"/>
    <col min="5" max="5" width="12" customWidth="1"/>
    <col min="6" max="6" width="14" customWidth="1"/>
    <col min="7" max="7" width="12.77734375" customWidth="1"/>
    <col min="8" max="10" width="16" customWidth="1"/>
    <col min="11" max="11" width="9.109375" customWidth="1"/>
    <col min="12" max="12" width="28" customWidth="1"/>
    <col min="13" max="15" width="14" customWidth="1"/>
    <col min="16" max="16" width="18" customWidth="1"/>
    <col min="17" max="17" width="17.6640625" customWidth="1"/>
  </cols>
  <sheetData>
    <row r="1" spans="1:31" ht="15.75" customHeight="1" x14ac:dyDescent="0.25">
      <c r="A1" s="74" t="s">
        <v>148</v>
      </c>
      <c r="B1" s="75"/>
      <c r="C1" s="75"/>
      <c r="D1" s="75"/>
      <c r="E1" s="76"/>
      <c r="F1" s="1" t="s">
        <v>0</v>
      </c>
      <c r="G1" s="2"/>
      <c r="H1" s="28" t="e">
        <f>M10+#REF!</f>
        <v>#REF!</v>
      </c>
      <c r="I1" s="39"/>
      <c r="J1" s="3"/>
      <c r="K1" s="4"/>
      <c r="L1" s="77" t="s">
        <v>1</v>
      </c>
      <c r="M1" s="75"/>
      <c r="N1" s="75"/>
      <c r="O1" s="75"/>
      <c r="P1" s="75"/>
      <c r="Q1" s="78"/>
      <c r="R1" s="5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ht="15.75" customHeight="1" x14ac:dyDescent="0.25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40" t="s">
        <v>119</v>
      </c>
      <c r="J2" s="9" t="s">
        <v>10</v>
      </c>
      <c r="K2" s="4"/>
      <c r="L2" s="7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9" t="s">
        <v>16</v>
      </c>
      <c r="R2" s="10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5.75" customHeight="1" x14ac:dyDescent="0.3">
      <c r="A3" s="65" t="s">
        <v>137</v>
      </c>
      <c r="B3" s="66"/>
      <c r="C3" s="66"/>
      <c r="D3" s="66"/>
      <c r="E3" s="66"/>
      <c r="F3" s="66"/>
      <c r="G3" s="66"/>
      <c r="H3" s="66"/>
      <c r="I3" s="66"/>
      <c r="J3" s="67"/>
      <c r="K3" s="4"/>
      <c r="L3" s="12"/>
      <c r="M3" s="13"/>
      <c r="N3" s="13"/>
      <c r="O3" s="13"/>
      <c r="P3" s="13"/>
      <c r="Q3" s="14"/>
      <c r="R3" s="5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5.75" customHeight="1" x14ac:dyDescent="0.25">
      <c r="A4" s="15" t="s">
        <v>17</v>
      </c>
      <c r="B4" s="16" t="s">
        <v>18</v>
      </c>
      <c r="C4" s="16" t="s">
        <v>19</v>
      </c>
      <c r="D4" s="16" t="s">
        <v>20</v>
      </c>
      <c r="E4" s="16" t="s">
        <v>20</v>
      </c>
      <c r="F4" s="17">
        <v>65</v>
      </c>
      <c r="G4" s="18" t="s">
        <v>89</v>
      </c>
      <c r="H4" s="17" t="e">
        <f>H1-F4</f>
        <v>#REF!</v>
      </c>
      <c r="I4" s="41"/>
      <c r="J4" s="19"/>
      <c r="K4" s="4"/>
      <c r="L4" s="20" t="s">
        <v>21</v>
      </c>
      <c r="M4" s="21">
        <v>2540</v>
      </c>
      <c r="N4" s="21">
        <v>580</v>
      </c>
      <c r="O4" s="21">
        <v>264</v>
      </c>
      <c r="P4" s="22">
        <v>5</v>
      </c>
      <c r="Q4" s="14" t="s">
        <v>89</v>
      </c>
      <c r="R4" s="5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ht="15.75" customHeight="1" x14ac:dyDescent="0.25">
      <c r="A5" s="15" t="s">
        <v>22</v>
      </c>
      <c r="B5" s="16" t="s">
        <v>23</v>
      </c>
      <c r="C5" s="16" t="s">
        <v>24</v>
      </c>
      <c r="D5" s="16" t="s">
        <v>20</v>
      </c>
      <c r="E5" s="16">
        <v>7</v>
      </c>
      <c r="F5" s="17">
        <v>1371.16</v>
      </c>
      <c r="G5" s="18" t="s">
        <v>89</v>
      </c>
      <c r="H5" s="17" t="e">
        <f t="shared" ref="H5:H9" si="0">H4-F5</f>
        <v>#REF!</v>
      </c>
      <c r="I5" s="41"/>
      <c r="J5" s="19"/>
      <c r="K5" s="4"/>
      <c r="L5" s="20" t="s">
        <v>25</v>
      </c>
      <c r="M5" s="21">
        <v>2000</v>
      </c>
      <c r="N5" s="23" t="s">
        <v>20</v>
      </c>
      <c r="O5" s="23" t="s">
        <v>20</v>
      </c>
      <c r="P5" s="22">
        <v>10</v>
      </c>
      <c r="Q5" s="14" t="s">
        <v>89</v>
      </c>
      <c r="R5" s="5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ht="15.75" customHeight="1" x14ac:dyDescent="0.25">
      <c r="A6" s="15" t="s">
        <v>26</v>
      </c>
      <c r="B6" s="16" t="s">
        <v>27</v>
      </c>
      <c r="C6" s="16" t="s">
        <v>24</v>
      </c>
      <c r="D6" s="16" t="s">
        <v>20</v>
      </c>
      <c r="E6" s="16">
        <v>7</v>
      </c>
      <c r="F6" s="17">
        <v>473.45</v>
      </c>
      <c r="G6" s="18" t="s">
        <v>89</v>
      </c>
      <c r="H6" s="17" t="e">
        <f t="shared" si="0"/>
        <v>#REF!</v>
      </c>
      <c r="I6" s="41"/>
      <c r="J6" s="19"/>
      <c r="K6" s="4"/>
      <c r="L6" s="20" t="s">
        <v>28</v>
      </c>
      <c r="M6" s="21">
        <v>400</v>
      </c>
      <c r="N6" s="23" t="s">
        <v>20</v>
      </c>
      <c r="O6" s="23" t="s">
        <v>20</v>
      </c>
      <c r="P6" s="22">
        <v>10</v>
      </c>
      <c r="Q6" s="14" t="s">
        <v>89</v>
      </c>
      <c r="R6" s="5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ht="15.75" customHeight="1" x14ac:dyDescent="0.25">
      <c r="A7" s="15" t="s">
        <v>29</v>
      </c>
      <c r="B7" s="16" t="s">
        <v>30</v>
      </c>
      <c r="C7" s="16" t="s">
        <v>31</v>
      </c>
      <c r="D7" s="16" t="s">
        <v>20</v>
      </c>
      <c r="E7" s="16">
        <v>20</v>
      </c>
      <c r="F7" s="17">
        <v>127.99</v>
      </c>
      <c r="G7" s="18" t="s">
        <v>89</v>
      </c>
      <c r="H7" s="17" t="e">
        <f t="shared" si="0"/>
        <v>#REF!</v>
      </c>
      <c r="I7" s="41"/>
      <c r="J7" s="19"/>
      <c r="K7" s="4" t="s">
        <v>149</v>
      </c>
      <c r="L7" s="20" t="s">
        <v>150</v>
      </c>
      <c r="M7" s="21">
        <v>160</v>
      </c>
      <c r="N7" s="23" t="s">
        <v>20</v>
      </c>
      <c r="O7" s="23" t="s">
        <v>20</v>
      </c>
      <c r="P7" s="22">
        <v>10</v>
      </c>
      <c r="Q7" s="14" t="s">
        <v>89</v>
      </c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 ht="15.75" customHeight="1" x14ac:dyDescent="0.25">
      <c r="A8" s="15" t="s">
        <v>32</v>
      </c>
      <c r="B8" s="16" t="s">
        <v>33</v>
      </c>
      <c r="C8" s="16" t="s">
        <v>31</v>
      </c>
      <c r="D8" s="16" t="s">
        <v>20</v>
      </c>
      <c r="E8" s="16">
        <v>10</v>
      </c>
      <c r="F8" s="17">
        <v>40.909999999999997</v>
      </c>
      <c r="G8" s="18" t="s">
        <v>89</v>
      </c>
      <c r="H8" s="17" t="e">
        <f t="shared" si="0"/>
        <v>#REF!</v>
      </c>
      <c r="I8" s="41"/>
      <c r="J8" s="19"/>
      <c r="K8" s="4"/>
      <c r="L8" s="20" t="s">
        <v>34</v>
      </c>
      <c r="M8" s="21">
        <v>500</v>
      </c>
      <c r="N8" s="23" t="s">
        <v>20</v>
      </c>
      <c r="O8" s="23" t="s">
        <v>20</v>
      </c>
      <c r="P8" s="22">
        <v>10</v>
      </c>
      <c r="Q8" s="14" t="s">
        <v>89</v>
      </c>
      <c r="R8" s="5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1" ht="15.75" customHeight="1" x14ac:dyDescent="0.25">
      <c r="A9" s="15" t="s">
        <v>35</v>
      </c>
      <c r="B9" s="16" t="s">
        <v>36</v>
      </c>
      <c r="C9" s="16" t="s">
        <v>31</v>
      </c>
      <c r="D9" s="16" t="s">
        <v>20</v>
      </c>
      <c r="E9" s="16">
        <v>17</v>
      </c>
      <c r="F9" s="17">
        <v>99.99</v>
      </c>
      <c r="G9" s="18" t="s">
        <v>89</v>
      </c>
      <c r="H9" s="17" t="e">
        <f t="shared" si="0"/>
        <v>#REF!</v>
      </c>
      <c r="I9" s="41"/>
      <c r="J9" s="19"/>
      <c r="K9" s="4"/>
      <c r="L9" s="20" t="s">
        <v>37</v>
      </c>
      <c r="M9" s="21">
        <v>800</v>
      </c>
      <c r="N9" s="23" t="s">
        <v>20</v>
      </c>
      <c r="O9" s="23" t="s">
        <v>20</v>
      </c>
      <c r="P9" s="22">
        <v>15</v>
      </c>
      <c r="Q9" s="14" t="s">
        <v>89</v>
      </c>
      <c r="R9" s="5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ht="15.75" customHeight="1" x14ac:dyDescent="0.25">
      <c r="A10" s="65" t="s">
        <v>38</v>
      </c>
      <c r="B10" s="66"/>
      <c r="C10" s="66"/>
      <c r="D10" s="66"/>
      <c r="E10" s="66"/>
      <c r="F10" s="66"/>
      <c r="G10" s="66"/>
      <c r="H10" s="66"/>
      <c r="I10" s="66"/>
      <c r="J10" s="67"/>
      <c r="K10" s="4"/>
      <c r="L10" s="24"/>
      <c r="M10" s="25">
        <f>SUM(M4:M9)</f>
        <v>6400</v>
      </c>
      <c r="N10" s="25"/>
      <c r="O10" s="25"/>
      <c r="P10" s="26"/>
      <c r="Q10" s="14"/>
      <c r="R10" s="5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15.75" customHeight="1" x14ac:dyDescent="0.25">
      <c r="A11" s="15" t="s">
        <v>40</v>
      </c>
      <c r="B11" s="64"/>
      <c r="C11" s="64"/>
      <c r="D11" s="16" t="s">
        <v>140</v>
      </c>
      <c r="E11" s="64"/>
      <c r="F11" s="17">
        <v>286.81</v>
      </c>
      <c r="G11" s="58" t="s">
        <v>89</v>
      </c>
      <c r="H11" s="17" t="e">
        <f>H9-F11</f>
        <v>#REF!</v>
      </c>
      <c r="I11" s="42">
        <f>F11*10</f>
        <v>2868.1</v>
      </c>
      <c r="J11" s="73">
        <f>SUM(F11:F15)</f>
        <v>812.71999999999991</v>
      </c>
      <c r="K11" s="5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15.75" customHeight="1" x14ac:dyDescent="0.25">
      <c r="A12" s="47" t="s">
        <v>42</v>
      </c>
      <c r="B12" s="59"/>
      <c r="C12" s="59"/>
      <c r="D12" s="48" t="s">
        <v>122</v>
      </c>
      <c r="E12" s="59"/>
      <c r="F12" s="49">
        <v>375</v>
      </c>
      <c r="G12" s="59"/>
      <c r="H12" s="49" t="e">
        <f t="shared" ref="H12:H15" si="1">H11-F12</f>
        <v>#REF!</v>
      </c>
      <c r="I12" s="50">
        <f>F12*2</f>
        <v>750</v>
      </c>
      <c r="J12" s="62"/>
      <c r="K12" s="5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ht="15.75" customHeight="1" x14ac:dyDescent="0.25">
      <c r="A13" s="15" t="s">
        <v>45</v>
      </c>
      <c r="B13" s="59"/>
      <c r="C13" s="59"/>
      <c r="D13" s="16" t="s">
        <v>122</v>
      </c>
      <c r="E13" s="59"/>
      <c r="F13" s="17">
        <v>59.02</v>
      </c>
      <c r="G13" s="59"/>
      <c r="H13" s="17" t="e">
        <f t="shared" si="1"/>
        <v>#REF!</v>
      </c>
      <c r="I13" s="42">
        <f>F13*4</f>
        <v>236.08</v>
      </c>
      <c r="J13" s="62"/>
      <c r="K13" s="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ht="15.75" customHeight="1" x14ac:dyDescent="0.25">
      <c r="A14" s="15" t="s">
        <v>47</v>
      </c>
      <c r="B14" s="59"/>
      <c r="C14" s="59"/>
      <c r="D14" s="16" t="s">
        <v>43</v>
      </c>
      <c r="E14" s="59"/>
      <c r="F14" s="17">
        <v>40.75</v>
      </c>
      <c r="G14" s="59"/>
      <c r="H14" s="17" t="e">
        <f t="shared" si="1"/>
        <v>#REF!</v>
      </c>
      <c r="I14" s="42">
        <f>F14*5</f>
        <v>203.75</v>
      </c>
      <c r="J14" s="62"/>
      <c r="K14" s="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ht="15.75" customHeight="1" x14ac:dyDescent="0.25">
      <c r="A15" s="15" t="s">
        <v>49</v>
      </c>
      <c r="B15" s="60"/>
      <c r="C15" s="60"/>
      <c r="D15" s="16" t="s">
        <v>151</v>
      </c>
      <c r="E15" s="60"/>
      <c r="F15" s="17">
        <v>51.14</v>
      </c>
      <c r="G15" s="60"/>
      <c r="H15" s="17" t="e">
        <f t="shared" si="1"/>
        <v>#REF!</v>
      </c>
      <c r="I15" s="42">
        <f>F15*2</f>
        <v>102.28</v>
      </c>
      <c r="J15" s="63"/>
      <c r="K15" s="5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ht="15.75" customHeight="1" x14ac:dyDescent="0.25">
      <c r="A16" s="65" t="s">
        <v>50</v>
      </c>
      <c r="B16" s="66"/>
      <c r="C16" s="66"/>
      <c r="D16" s="66"/>
      <c r="E16" s="66"/>
      <c r="F16" s="66"/>
      <c r="G16" s="66"/>
      <c r="H16" s="66"/>
      <c r="I16" s="66"/>
      <c r="J16" s="67"/>
      <c r="K16" s="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ht="15.75" customHeight="1" x14ac:dyDescent="0.25">
      <c r="A17" s="15" t="s">
        <v>51</v>
      </c>
      <c r="B17" s="64" t="s">
        <v>52</v>
      </c>
      <c r="C17" s="64" t="s">
        <v>39</v>
      </c>
      <c r="D17" s="16" t="s">
        <v>48</v>
      </c>
      <c r="E17" s="64" t="s">
        <v>54</v>
      </c>
      <c r="F17" s="17">
        <v>33.67</v>
      </c>
      <c r="G17" s="58" t="s">
        <v>89</v>
      </c>
      <c r="H17" s="17" t="e">
        <f>H15-F17</f>
        <v>#REF!</v>
      </c>
      <c r="I17" s="42">
        <f t="shared" ref="I17:I18" si="2">F17*9</f>
        <v>303.03000000000003</v>
      </c>
      <c r="J17" s="73">
        <f>SUM(F17:F18)</f>
        <v>59.67</v>
      </c>
      <c r="K17" s="5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ht="15.75" customHeight="1" x14ac:dyDescent="0.25">
      <c r="A18" s="15" t="s">
        <v>55</v>
      </c>
      <c r="B18" s="60"/>
      <c r="C18" s="60"/>
      <c r="D18" s="16" t="s">
        <v>48</v>
      </c>
      <c r="E18" s="60"/>
      <c r="F18" s="17">
        <v>26</v>
      </c>
      <c r="G18" s="60"/>
      <c r="H18" s="17" t="e">
        <f>H17-F18</f>
        <v>#REF!</v>
      </c>
      <c r="I18" s="42">
        <f t="shared" si="2"/>
        <v>234</v>
      </c>
      <c r="J18" s="63"/>
      <c r="K18" s="5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ht="15.75" customHeight="1" x14ac:dyDescent="0.25">
      <c r="A19" s="65" t="s">
        <v>56</v>
      </c>
      <c r="B19" s="66"/>
      <c r="C19" s="66"/>
      <c r="D19" s="66"/>
      <c r="E19" s="66"/>
      <c r="F19" s="66"/>
      <c r="G19" s="66"/>
      <c r="H19" s="66"/>
      <c r="I19" s="66"/>
      <c r="J19" s="67"/>
      <c r="K19" s="5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ht="15.75" customHeight="1" x14ac:dyDescent="0.25">
      <c r="A20" s="15" t="s">
        <v>141</v>
      </c>
      <c r="B20" s="16" t="s">
        <v>57</v>
      </c>
      <c r="C20" s="16" t="s">
        <v>39</v>
      </c>
      <c r="D20" s="16" t="s">
        <v>20</v>
      </c>
      <c r="E20" s="16" t="s">
        <v>54</v>
      </c>
      <c r="F20" s="17">
        <v>0</v>
      </c>
      <c r="G20" s="18" t="s">
        <v>89</v>
      </c>
      <c r="H20" s="17" t="e">
        <f>H18-F20</f>
        <v>#REF!</v>
      </c>
      <c r="I20" s="43"/>
      <c r="J20" s="44">
        <f>SUM(F20)</f>
        <v>0</v>
      </c>
      <c r="K20" s="5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ht="15.75" customHeight="1" x14ac:dyDescent="0.25">
      <c r="A21" s="65" t="s">
        <v>58</v>
      </c>
      <c r="B21" s="66"/>
      <c r="C21" s="66"/>
      <c r="D21" s="66"/>
      <c r="E21" s="66"/>
      <c r="F21" s="66"/>
      <c r="G21" s="66"/>
      <c r="H21" s="66"/>
      <c r="I21" s="66"/>
      <c r="J21" s="67"/>
      <c r="K21" s="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ht="15.75" customHeight="1" x14ac:dyDescent="0.25">
      <c r="A22" s="15" t="s">
        <v>60</v>
      </c>
      <c r="B22" s="64"/>
      <c r="C22" s="64"/>
      <c r="D22" s="16" t="s">
        <v>140</v>
      </c>
      <c r="E22" s="64"/>
      <c r="F22" s="17">
        <v>25.98</v>
      </c>
      <c r="G22" s="58"/>
      <c r="H22" s="17" t="e">
        <f>H20-F22</f>
        <v>#REF!</v>
      </c>
      <c r="I22" s="43">
        <f>F22*10</f>
        <v>259.8</v>
      </c>
      <c r="J22" s="81"/>
      <c r="K22" s="5"/>
      <c r="L22" s="51">
        <f>I32</f>
        <v>1454.9</v>
      </c>
      <c r="M22" s="6" t="e">
        <f>#REF!-L22</f>
        <v>#REF!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1" ht="15.75" customHeight="1" x14ac:dyDescent="0.25">
      <c r="A23" s="15" t="s">
        <v>61</v>
      </c>
      <c r="B23" s="59"/>
      <c r="C23" s="59"/>
      <c r="D23" s="16" t="s">
        <v>152</v>
      </c>
      <c r="E23" s="59"/>
      <c r="F23" s="17">
        <v>143</v>
      </c>
      <c r="G23" s="59"/>
      <c r="H23" s="17" t="e">
        <f t="shared" ref="H23:H28" si="3">H22-F23</f>
        <v>#REF!</v>
      </c>
      <c r="I23" s="43">
        <f>F23*3</f>
        <v>429</v>
      </c>
      <c r="J23" s="62"/>
      <c r="K23" s="5"/>
      <c r="L23" s="6">
        <v>0</v>
      </c>
      <c r="M23" s="6" t="e">
        <f>M22-L23</f>
        <v>#REF!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ht="15.75" customHeight="1" x14ac:dyDescent="0.25">
      <c r="A24" s="15" t="s">
        <v>62</v>
      </c>
      <c r="B24" s="59"/>
      <c r="C24" s="59"/>
      <c r="D24" s="16" t="s">
        <v>140</v>
      </c>
      <c r="E24" s="59"/>
      <c r="F24" s="17">
        <v>133.37</v>
      </c>
      <c r="G24" s="59"/>
      <c r="H24" s="17" t="e">
        <f t="shared" si="3"/>
        <v>#REF!</v>
      </c>
      <c r="I24" s="43">
        <f>F24*10</f>
        <v>1333.7</v>
      </c>
      <c r="J24" s="62"/>
      <c r="K24" s="5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ht="15.75" customHeight="1" x14ac:dyDescent="0.25">
      <c r="A25" s="15" t="s">
        <v>63</v>
      </c>
      <c r="B25" s="59"/>
      <c r="C25" s="59"/>
      <c r="D25" s="16" t="s">
        <v>43</v>
      </c>
      <c r="E25" s="59"/>
      <c r="F25" s="17">
        <v>133.33000000000001</v>
      </c>
      <c r="G25" s="59"/>
      <c r="H25" s="17" t="e">
        <f t="shared" si="3"/>
        <v>#REF!</v>
      </c>
      <c r="I25" s="43">
        <f>F25*5</f>
        <v>666.65000000000009</v>
      </c>
      <c r="J25" s="62"/>
      <c r="K25" s="5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ht="15.75" customHeight="1" x14ac:dyDescent="0.25">
      <c r="A26" s="15" t="s">
        <v>64</v>
      </c>
      <c r="B26" s="59"/>
      <c r="C26" s="59"/>
      <c r="D26" s="16" t="s">
        <v>153</v>
      </c>
      <c r="E26" s="59"/>
      <c r="F26" s="17">
        <v>15.52</v>
      </c>
      <c r="G26" s="59"/>
      <c r="H26" s="17" t="e">
        <f t="shared" si="3"/>
        <v>#REF!</v>
      </c>
      <c r="I26" s="43">
        <f>F26*3</f>
        <v>46.56</v>
      </c>
      <c r="J26" s="62"/>
      <c r="K26" s="5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ht="15.75" customHeight="1" x14ac:dyDescent="0.25">
      <c r="A27" s="15" t="s">
        <v>65</v>
      </c>
      <c r="B27" s="59"/>
      <c r="C27" s="59"/>
      <c r="D27" s="16" t="s">
        <v>43</v>
      </c>
      <c r="E27" s="59"/>
      <c r="F27" s="17">
        <v>57.99</v>
      </c>
      <c r="G27" s="59"/>
      <c r="H27" s="17" t="e">
        <f t="shared" si="3"/>
        <v>#REF!</v>
      </c>
      <c r="I27" s="43">
        <f>F27*5</f>
        <v>289.95</v>
      </c>
      <c r="J27" s="62"/>
      <c r="K27" s="5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ht="15.75" customHeight="1" x14ac:dyDescent="0.25">
      <c r="A28" s="15" t="s">
        <v>66</v>
      </c>
      <c r="B28" s="60"/>
      <c r="C28" s="60"/>
      <c r="D28" s="16" t="s">
        <v>43</v>
      </c>
      <c r="E28" s="60"/>
      <c r="F28" s="17">
        <v>16.62</v>
      </c>
      <c r="G28" s="60"/>
      <c r="H28" s="17" t="e">
        <f t="shared" si="3"/>
        <v>#REF!</v>
      </c>
      <c r="I28" s="43">
        <f>F28+5</f>
        <v>21.62</v>
      </c>
      <c r="J28" s="63"/>
      <c r="K28" s="5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ht="15.75" customHeight="1" x14ac:dyDescent="0.25">
      <c r="A29" s="65" t="s">
        <v>68</v>
      </c>
      <c r="B29" s="66"/>
      <c r="C29" s="66"/>
      <c r="D29" s="66"/>
      <c r="E29" s="66"/>
      <c r="F29" s="66"/>
      <c r="G29" s="66"/>
      <c r="H29" s="66"/>
      <c r="I29" s="66"/>
      <c r="J29" s="67"/>
      <c r="K29" s="5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ht="15.75" customHeight="1" x14ac:dyDescent="0.25">
      <c r="A30" s="15" t="s">
        <v>69</v>
      </c>
      <c r="B30" s="64" t="s">
        <v>70</v>
      </c>
      <c r="C30" s="64" t="s">
        <v>39</v>
      </c>
      <c r="D30" s="16" t="s">
        <v>154</v>
      </c>
      <c r="E30" s="64" t="s">
        <v>54</v>
      </c>
      <c r="F30" s="17">
        <v>81.66</v>
      </c>
      <c r="G30" s="58" t="s">
        <v>89</v>
      </c>
      <c r="H30" s="17" t="e">
        <f>H28-F30</f>
        <v>#REF!</v>
      </c>
      <c r="I30" s="43">
        <f>F30*8</f>
        <v>653.28</v>
      </c>
      <c r="J30" s="79">
        <f>SUM(F30:F32)</f>
        <v>285.14</v>
      </c>
      <c r="K30" s="5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spans="1:31" ht="15.75" customHeight="1" x14ac:dyDescent="0.25">
      <c r="A31" s="15" t="s">
        <v>65</v>
      </c>
      <c r="B31" s="59"/>
      <c r="C31" s="59"/>
      <c r="D31" s="16" t="s">
        <v>43</v>
      </c>
      <c r="E31" s="59"/>
      <c r="F31" s="17">
        <v>57.99</v>
      </c>
      <c r="G31" s="59"/>
      <c r="H31" s="17" t="e">
        <f t="shared" ref="H31:H32" si="4">H30-F31</f>
        <v>#REF!</v>
      </c>
      <c r="I31" s="43">
        <f>F31*5</f>
        <v>289.95</v>
      </c>
      <c r="J31" s="62"/>
      <c r="K31" s="5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1" ht="15.75" customHeight="1" x14ac:dyDescent="0.25">
      <c r="A32" s="52" t="s">
        <v>71</v>
      </c>
      <c r="B32" s="60"/>
      <c r="C32" s="60"/>
      <c r="D32" s="53" t="s">
        <v>140</v>
      </c>
      <c r="E32" s="60"/>
      <c r="F32" s="54">
        <v>145.49</v>
      </c>
      <c r="G32" s="60"/>
      <c r="H32" s="54" t="e">
        <f t="shared" si="4"/>
        <v>#REF!</v>
      </c>
      <c r="I32" s="55">
        <f>F32*10</f>
        <v>1454.9</v>
      </c>
      <c r="J32" s="63"/>
      <c r="K32" s="5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spans="1:31" ht="15.75" customHeight="1" x14ac:dyDescent="0.25">
      <c r="A33" s="65" t="s">
        <v>72</v>
      </c>
      <c r="B33" s="66"/>
      <c r="C33" s="66"/>
      <c r="D33" s="66"/>
      <c r="E33" s="66"/>
      <c r="F33" s="66"/>
      <c r="G33" s="66"/>
      <c r="H33" s="66"/>
      <c r="I33" s="66"/>
      <c r="J33" s="67"/>
      <c r="K33" s="5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spans="1:31" ht="15.75" customHeight="1" x14ac:dyDescent="0.25">
      <c r="A34" s="15" t="s">
        <v>127</v>
      </c>
      <c r="B34" s="64" t="s">
        <v>73</v>
      </c>
      <c r="C34" s="64" t="s">
        <v>39</v>
      </c>
      <c r="D34" s="16" t="s">
        <v>140</v>
      </c>
      <c r="E34" s="64" t="s">
        <v>74</v>
      </c>
      <c r="F34" s="29">
        <v>68.42</v>
      </c>
      <c r="G34" s="58" t="s">
        <v>89</v>
      </c>
      <c r="H34" s="17" t="e">
        <f>H32-F34</f>
        <v>#REF!</v>
      </c>
      <c r="I34" s="43">
        <f t="shared" ref="I34:I36" si="5">F34*10</f>
        <v>684.2</v>
      </c>
      <c r="J34" s="61">
        <f>SUM(F34:F36)</f>
        <v>136.22</v>
      </c>
      <c r="K34" s="5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spans="1:31" ht="15.75" customHeight="1" x14ac:dyDescent="0.25">
      <c r="A35" s="15" t="s">
        <v>128</v>
      </c>
      <c r="B35" s="59"/>
      <c r="C35" s="59"/>
      <c r="D35" s="16" t="s">
        <v>140</v>
      </c>
      <c r="E35" s="59"/>
      <c r="F35" s="29">
        <v>40.68</v>
      </c>
      <c r="G35" s="59"/>
      <c r="H35" s="17" t="e">
        <f t="shared" ref="H35:H41" si="6">H34-F35</f>
        <v>#REF!</v>
      </c>
      <c r="I35" s="43">
        <f t="shared" si="5"/>
        <v>406.8</v>
      </c>
      <c r="J35" s="62"/>
      <c r="K35" s="5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31" ht="15.75" customHeight="1" x14ac:dyDescent="0.25">
      <c r="A36" s="15" t="s">
        <v>129</v>
      </c>
      <c r="B36" s="59"/>
      <c r="C36" s="59"/>
      <c r="D36" s="16" t="s">
        <v>140</v>
      </c>
      <c r="E36" s="59"/>
      <c r="F36" s="29">
        <v>27.12</v>
      </c>
      <c r="G36" s="59"/>
      <c r="H36" s="17" t="e">
        <f t="shared" si="6"/>
        <v>#REF!</v>
      </c>
      <c r="I36" s="43">
        <f t="shared" si="5"/>
        <v>271.2</v>
      </c>
      <c r="J36" s="62"/>
      <c r="K36" s="5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spans="1:31" ht="15.75" customHeight="1" x14ac:dyDescent="0.25">
      <c r="A37" s="15" t="s">
        <v>131</v>
      </c>
      <c r="B37" s="59"/>
      <c r="C37" s="59"/>
      <c r="D37" s="16" t="s">
        <v>121</v>
      </c>
      <c r="E37" s="59"/>
      <c r="F37" s="29">
        <v>9.6199999999999992</v>
      </c>
      <c r="G37" s="59"/>
      <c r="H37" s="17" t="e">
        <f t="shared" si="6"/>
        <v>#REF!</v>
      </c>
      <c r="I37" s="43">
        <f>F37*2</f>
        <v>19.239999999999998</v>
      </c>
      <c r="J37" s="62"/>
      <c r="K37" s="5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spans="1:31" ht="15.75" customHeight="1" x14ac:dyDescent="0.25">
      <c r="A38" s="15" t="s">
        <v>132</v>
      </c>
      <c r="B38" s="59"/>
      <c r="C38" s="59"/>
      <c r="D38" s="16" t="s">
        <v>155</v>
      </c>
      <c r="E38" s="59"/>
      <c r="F38" s="29">
        <v>7.56</v>
      </c>
      <c r="G38" s="59"/>
      <c r="H38" s="17" t="e">
        <f t="shared" si="6"/>
        <v>#REF!</v>
      </c>
      <c r="I38" s="43">
        <f>F38*3</f>
        <v>22.68</v>
      </c>
      <c r="J38" s="62"/>
      <c r="K38" s="5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spans="1:31" ht="15.75" customHeight="1" x14ac:dyDescent="0.25">
      <c r="A39" s="15" t="s">
        <v>133</v>
      </c>
      <c r="B39" s="59"/>
      <c r="C39" s="59"/>
      <c r="D39" s="16" t="s">
        <v>121</v>
      </c>
      <c r="E39" s="59"/>
      <c r="F39" s="29">
        <v>6.68</v>
      </c>
      <c r="G39" s="59"/>
      <c r="H39" s="17" t="e">
        <f t="shared" si="6"/>
        <v>#REF!</v>
      </c>
      <c r="I39" s="43">
        <f t="shared" ref="I39:I40" si="7">F39*2</f>
        <v>13.36</v>
      </c>
      <c r="J39" s="62"/>
      <c r="K39" s="5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ht="15.75" customHeight="1" x14ac:dyDescent="0.25">
      <c r="A40" s="15" t="s">
        <v>134</v>
      </c>
      <c r="B40" s="59"/>
      <c r="C40" s="59"/>
      <c r="D40" s="16" t="s">
        <v>121</v>
      </c>
      <c r="E40" s="59"/>
      <c r="F40" s="29">
        <v>26.05</v>
      </c>
      <c r="G40" s="59"/>
      <c r="H40" s="17" t="e">
        <f t="shared" si="6"/>
        <v>#REF!</v>
      </c>
      <c r="I40" s="43">
        <f t="shared" si="7"/>
        <v>52.1</v>
      </c>
      <c r="J40" s="62"/>
      <c r="K40" s="5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1" ht="15.75" customHeight="1" x14ac:dyDescent="0.25">
      <c r="A41" s="15" t="s">
        <v>136</v>
      </c>
      <c r="B41" s="60"/>
      <c r="C41" s="60"/>
      <c r="D41" s="16" t="s">
        <v>124</v>
      </c>
      <c r="E41" s="60"/>
      <c r="F41" s="29">
        <v>57.86</v>
      </c>
      <c r="G41" s="60"/>
      <c r="H41" s="17" t="e">
        <f t="shared" si="6"/>
        <v>#REF!</v>
      </c>
      <c r="I41" s="43">
        <f>F41*10</f>
        <v>578.6</v>
      </c>
      <c r="J41" s="63"/>
      <c r="K41" s="5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ht="15.75" customHeight="1" x14ac:dyDescent="0.25">
      <c r="A42" s="65" t="s">
        <v>75</v>
      </c>
      <c r="B42" s="66"/>
      <c r="C42" s="66"/>
      <c r="D42" s="66"/>
      <c r="E42" s="66"/>
      <c r="F42" s="66"/>
      <c r="G42" s="66"/>
      <c r="H42" s="66"/>
      <c r="I42" s="66"/>
      <c r="J42" s="67"/>
      <c r="K42" s="5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ht="15.75" customHeight="1" x14ac:dyDescent="0.25">
      <c r="A43" s="15" t="s">
        <v>76</v>
      </c>
      <c r="B43" s="16" t="s">
        <v>77</v>
      </c>
      <c r="C43" s="16" t="s">
        <v>31</v>
      </c>
      <c r="D43" s="16" t="s">
        <v>20</v>
      </c>
      <c r="E43" s="16" t="s">
        <v>54</v>
      </c>
      <c r="F43" s="17">
        <v>856.34</v>
      </c>
      <c r="G43" s="18" t="s">
        <v>89</v>
      </c>
      <c r="H43" s="17" t="e">
        <f>H41-F43</f>
        <v>#REF!</v>
      </c>
      <c r="I43" s="41"/>
      <c r="J43" s="19"/>
      <c r="K43" s="5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ht="15.75" customHeight="1" x14ac:dyDescent="0.25">
      <c r="A44" s="15" t="s">
        <v>78</v>
      </c>
      <c r="B44" s="16" t="s">
        <v>20</v>
      </c>
      <c r="C44" s="18"/>
      <c r="D44" s="16"/>
      <c r="E44" s="16" t="s">
        <v>20</v>
      </c>
      <c r="F44" s="17">
        <v>90</v>
      </c>
      <c r="G44" s="18" t="s">
        <v>89</v>
      </c>
      <c r="H44" s="17" t="e">
        <f t="shared" ref="H44:H49" si="8">H43-F44</f>
        <v>#REF!</v>
      </c>
      <c r="I44" s="41"/>
      <c r="J44" s="19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1" ht="15.75" customHeight="1" x14ac:dyDescent="0.25">
      <c r="A45" s="15" t="s">
        <v>88</v>
      </c>
      <c r="B45" s="16" t="s">
        <v>20</v>
      </c>
      <c r="C45" s="16" t="s">
        <v>85</v>
      </c>
      <c r="D45" s="16" t="s">
        <v>20</v>
      </c>
      <c r="E45" s="16" t="s">
        <v>20</v>
      </c>
      <c r="F45" s="29">
        <v>150</v>
      </c>
      <c r="G45" s="18" t="s">
        <v>89</v>
      </c>
      <c r="H45" s="17" t="e">
        <f t="shared" si="8"/>
        <v>#REF!</v>
      </c>
      <c r="I45" s="41"/>
      <c r="J45" s="19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spans="1:31" ht="15.75" customHeight="1" x14ac:dyDescent="0.25">
      <c r="A46" s="15" t="s">
        <v>79</v>
      </c>
      <c r="B46" s="16" t="s">
        <v>80</v>
      </c>
      <c r="C46" s="18" t="s">
        <v>81</v>
      </c>
      <c r="D46" s="16" t="s">
        <v>20</v>
      </c>
      <c r="E46" s="16" t="s">
        <v>82</v>
      </c>
      <c r="F46" s="17">
        <v>40.9</v>
      </c>
      <c r="G46" s="18" t="s">
        <v>89</v>
      </c>
      <c r="H46" s="17" t="e">
        <f t="shared" si="8"/>
        <v>#REF!</v>
      </c>
      <c r="I46" s="41"/>
      <c r="J46" s="19"/>
      <c r="K46" s="5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spans="1:31" ht="15.75" customHeight="1" x14ac:dyDescent="0.25">
      <c r="A47" s="15" t="s">
        <v>83</v>
      </c>
      <c r="B47" s="16" t="s">
        <v>84</v>
      </c>
      <c r="C47" s="16" t="s">
        <v>85</v>
      </c>
      <c r="D47" s="16" t="s">
        <v>20</v>
      </c>
      <c r="E47" s="18" t="s">
        <v>54</v>
      </c>
      <c r="F47" s="17">
        <v>100</v>
      </c>
      <c r="G47" s="18" t="s">
        <v>89</v>
      </c>
      <c r="H47" s="17" t="e">
        <f t="shared" si="8"/>
        <v>#REF!</v>
      </c>
      <c r="I47" s="41"/>
      <c r="J47" s="19"/>
      <c r="K47" s="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ht="15.75" customHeight="1" x14ac:dyDescent="0.25">
      <c r="A48" s="15" t="s">
        <v>118</v>
      </c>
      <c r="B48" s="16" t="s">
        <v>59</v>
      </c>
      <c r="C48" s="16" t="s">
        <v>85</v>
      </c>
      <c r="D48" s="16" t="s">
        <v>20</v>
      </c>
      <c r="E48" s="16" t="s">
        <v>20</v>
      </c>
      <c r="F48" s="29">
        <f>14*22</f>
        <v>308</v>
      </c>
      <c r="G48" s="18" t="s">
        <v>89</v>
      </c>
      <c r="H48" s="17" t="e">
        <f t="shared" si="8"/>
        <v>#REF!</v>
      </c>
      <c r="I48" s="41"/>
      <c r="J48" s="19"/>
      <c r="K48" s="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spans="1:31" ht="15.75" customHeight="1" x14ac:dyDescent="0.25">
      <c r="A49" s="15" t="s">
        <v>86</v>
      </c>
      <c r="B49" s="16" t="s">
        <v>87</v>
      </c>
      <c r="C49" s="16" t="s">
        <v>85</v>
      </c>
      <c r="D49" s="16" t="s">
        <v>20</v>
      </c>
      <c r="E49" s="16" t="s">
        <v>20</v>
      </c>
      <c r="F49" s="29">
        <f>80*2</f>
        <v>160</v>
      </c>
      <c r="G49" s="18" t="s">
        <v>89</v>
      </c>
      <c r="H49" s="17" t="e">
        <f t="shared" si="8"/>
        <v>#REF!</v>
      </c>
      <c r="I49" s="41"/>
      <c r="J49" s="19"/>
      <c r="K49" s="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 ht="15.75" customHeight="1" x14ac:dyDescent="0.25">
      <c r="A50" s="65" t="s">
        <v>90</v>
      </c>
      <c r="B50" s="66"/>
      <c r="C50" s="66"/>
      <c r="D50" s="66"/>
      <c r="E50" s="66"/>
      <c r="F50" s="66"/>
      <c r="G50" s="66"/>
      <c r="H50" s="66"/>
      <c r="I50" s="66"/>
      <c r="J50" s="67"/>
      <c r="K50" s="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1:31" ht="15.75" customHeight="1" x14ac:dyDescent="0.25">
      <c r="A51" s="15" t="s">
        <v>91</v>
      </c>
      <c r="B51" s="16" t="s">
        <v>92</v>
      </c>
      <c r="C51" s="16" t="s">
        <v>85</v>
      </c>
      <c r="D51" s="16" t="s">
        <v>20</v>
      </c>
      <c r="E51" s="16" t="s">
        <v>20</v>
      </c>
      <c r="F51" s="17">
        <v>130</v>
      </c>
      <c r="G51" s="18" t="s">
        <v>89</v>
      </c>
      <c r="H51" s="17" t="e">
        <f>H49-F51</f>
        <v>#REF!</v>
      </c>
      <c r="I51" s="41"/>
      <c r="J51" s="19"/>
      <c r="K51" s="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spans="1:31" ht="15.75" customHeight="1" x14ac:dyDescent="0.25">
      <c r="A52" s="15" t="s">
        <v>93</v>
      </c>
      <c r="B52" s="16" t="s">
        <v>59</v>
      </c>
      <c r="C52" s="16" t="s">
        <v>85</v>
      </c>
      <c r="D52" s="16" t="s">
        <v>20</v>
      </c>
      <c r="E52" s="16" t="s">
        <v>20</v>
      </c>
      <c r="F52" s="17">
        <f>8*60</f>
        <v>480</v>
      </c>
      <c r="G52" s="18" t="s">
        <v>89</v>
      </c>
      <c r="H52" s="17" t="e">
        <f t="shared" ref="H52:H54" si="9">H51-F52</f>
        <v>#REF!</v>
      </c>
      <c r="I52" s="41"/>
      <c r="J52" s="19"/>
      <c r="K52" s="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spans="1:31" ht="15.75" customHeight="1" x14ac:dyDescent="0.25">
      <c r="A53" s="15" t="s">
        <v>94</v>
      </c>
      <c r="B53" s="16" t="s">
        <v>95</v>
      </c>
      <c r="C53" s="16" t="s">
        <v>85</v>
      </c>
      <c r="D53" s="16" t="s">
        <v>20</v>
      </c>
      <c r="E53" s="16" t="s">
        <v>20</v>
      </c>
      <c r="F53" s="17">
        <f>30*10</f>
        <v>300</v>
      </c>
      <c r="G53" s="18" t="s">
        <v>89</v>
      </c>
      <c r="H53" s="17" t="e">
        <f t="shared" si="9"/>
        <v>#REF!</v>
      </c>
      <c r="I53" s="41"/>
      <c r="J53" s="19"/>
      <c r="K53" s="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1" ht="15.75" customHeight="1" x14ac:dyDescent="0.25">
      <c r="A54" s="15" t="s">
        <v>96</v>
      </c>
      <c r="B54" s="16" t="s">
        <v>20</v>
      </c>
      <c r="C54" s="16" t="s">
        <v>85</v>
      </c>
      <c r="D54" s="16" t="s">
        <v>20</v>
      </c>
      <c r="E54" s="16" t="s">
        <v>20</v>
      </c>
      <c r="F54" s="17">
        <v>0</v>
      </c>
      <c r="G54" s="18" t="s">
        <v>89</v>
      </c>
      <c r="H54" s="17" t="e">
        <f t="shared" si="9"/>
        <v>#REF!</v>
      </c>
      <c r="I54" s="41"/>
      <c r="J54" s="19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1" ht="15.75" customHeight="1" x14ac:dyDescent="0.25">
      <c r="A55" s="68" t="s">
        <v>97</v>
      </c>
      <c r="B55" s="69"/>
      <c r="C55" s="69"/>
      <c r="D55" s="69"/>
      <c r="E55" s="70"/>
      <c r="F55" s="45" t="e">
        <f>H53</f>
        <v>#REF!</v>
      </c>
      <c r="G55" s="14"/>
      <c r="H55" s="14"/>
      <c r="I55" s="56">
        <f>I11+I12+I13+I14+I15+I17+I18+I22+I23+I24+I25+I26+I27+I28+I30+I31+I32+I34+I35+I36+I37+I38+I39+I40+I41</f>
        <v>12190.830000000002</v>
      </c>
      <c r="J55" s="14"/>
      <c r="K55" s="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1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spans="1:31" ht="15.75" customHeight="1" x14ac:dyDescent="0.25">
      <c r="A57" s="71" t="s">
        <v>98</v>
      </c>
      <c r="B57" s="72"/>
      <c r="C57" s="30" t="e">
        <f>F55</f>
        <v>#REF!</v>
      </c>
      <c r="D57" s="31" t="s">
        <v>99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1" ht="15.75" customHeight="1" x14ac:dyDescent="0.25">
      <c r="A58" s="80" t="s">
        <v>100</v>
      </c>
      <c r="B58" s="66"/>
      <c r="C58" s="66"/>
      <c r="D58" s="67"/>
      <c r="E58" s="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spans="1:31" ht="15.75" customHeight="1" x14ac:dyDescent="0.25">
      <c r="A59" s="20" t="s">
        <v>101</v>
      </c>
      <c r="B59" s="32">
        <v>0</v>
      </c>
      <c r="C59" s="32" t="e">
        <f>C57-B59</f>
        <v>#REF!</v>
      </c>
      <c r="D59" s="33" t="b">
        <v>0</v>
      </c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spans="1:31" ht="15.75" customHeight="1" x14ac:dyDescent="0.25">
      <c r="A60" s="20" t="s">
        <v>102</v>
      </c>
      <c r="B60" s="32">
        <v>0</v>
      </c>
      <c r="C60" s="32" t="e">
        <f>C59-B60</f>
        <v>#REF!</v>
      </c>
      <c r="D60" s="33" t="b">
        <v>0</v>
      </c>
      <c r="E60" s="5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 spans="1:31" ht="15.75" customHeight="1" x14ac:dyDescent="0.25">
      <c r="A61" s="80" t="s">
        <v>103</v>
      </c>
      <c r="B61" s="66"/>
      <c r="C61" s="66"/>
      <c r="D61" s="67"/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spans="1:31" ht="15.75" customHeight="1" x14ac:dyDescent="0.25">
      <c r="A62" s="20" t="s">
        <v>104</v>
      </c>
      <c r="B62" s="32">
        <v>0</v>
      </c>
      <c r="C62" s="32">
        <f>C61-B62</f>
        <v>0</v>
      </c>
      <c r="D62" s="33" t="b">
        <v>0</v>
      </c>
      <c r="E62" s="5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 spans="1:31" ht="15.75" customHeight="1" x14ac:dyDescent="0.25">
      <c r="A63" s="20" t="s">
        <v>105</v>
      </c>
      <c r="B63" s="32">
        <v>0</v>
      </c>
      <c r="C63" s="32">
        <f>C61-B63</f>
        <v>0</v>
      </c>
      <c r="D63" s="33" t="b">
        <v>0</v>
      </c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spans="1:31" ht="15.75" customHeight="1" x14ac:dyDescent="0.25">
      <c r="A64" s="80" t="s">
        <v>106</v>
      </c>
      <c r="B64" s="66"/>
      <c r="C64" s="66"/>
      <c r="D64" s="67"/>
      <c r="E64" s="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 spans="1:31" ht="15.75" customHeight="1" x14ac:dyDescent="0.25">
      <c r="A65" s="20" t="s">
        <v>107</v>
      </c>
      <c r="B65" s="32">
        <v>0</v>
      </c>
      <c r="C65" s="32">
        <f>C63-B65</f>
        <v>0</v>
      </c>
      <c r="D65" s="33" t="b">
        <v>0</v>
      </c>
      <c r="E65" s="5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1:31" ht="15.75" customHeight="1" x14ac:dyDescent="0.25">
      <c r="A66" s="20" t="s">
        <v>108</v>
      </c>
      <c r="B66" s="32">
        <v>0</v>
      </c>
      <c r="C66" s="32">
        <f>C65-B66</f>
        <v>0</v>
      </c>
      <c r="D66" s="33" t="b">
        <v>0</v>
      </c>
      <c r="E66" s="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spans="1:31" ht="15.75" customHeight="1" x14ac:dyDescent="0.25">
      <c r="A67" s="80" t="s">
        <v>109</v>
      </c>
      <c r="B67" s="66"/>
      <c r="C67" s="66"/>
      <c r="D67" s="67"/>
      <c r="E67" s="5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spans="1:31" ht="15.75" customHeight="1" x14ac:dyDescent="0.25">
      <c r="A68" s="20" t="s">
        <v>110</v>
      </c>
      <c r="B68" s="32">
        <v>0</v>
      </c>
      <c r="C68" s="32">
        <f>C67-B68</f>
        <v>0</v>
      </c>
      <c r="D68" s="33" t="b">
        <v>0</v>
      </c>
      <c r="E68" s="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spans="1:31" ht="15.75" customHeight="1" x14ac:dyDescent="0.25">
      <c r="A69" s="20" t="s">
        <v>111</v>
      </c>
      <c r="B69" s="32">
        <v>0</v>
      </c>
      <c r="C69" s="32">
        <f>C67-B69</f>
        <v>0</v>
      </c>
      <c r="D69" s="33" t="b">
        <v>0</v>
      </c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spans="1:31" ht="15.75" customHeight="1" x14ac:dyDescent="0.25">
      <c r="A70" s="20" t="s">
        <v>112</v>
      </c>
      <c r="B70" s="32">
        <v>0</v>
      </c>
      <c r="C70" s="32">
        <f>C69-B70</f>
        <v>0</v>
      </c>
      <c r="D70" s="33" t="b">
        <v>0</v>
      </c>
      <c r="E70" s="5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spans="1:31" ht="15.75" customHeight="1" x14ac:dyDescent="0.25">
      <c r="A71" s="20" t="s">
        <v>113</v>
      </c>
      <c r="B71" s="32">
        <v>0</v>
      </c>
      <c r="C71" s="32">
        <f>C69-B71</f>
        <v>0</v>
      </c>
      <c r="D71" s="33" t="b">
        <v>0</v>
      </c>
      <c r="E71" s="5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spans="1:31" ht="15.75" customHeight="1" x14ac:dyDescent="0.25">
      <c r="A72" s="20" t="s">
        <v>114</v>
      </c>
      <c r="B72" s="32">
        <v>0</v>
      </c>
      <c r="C72" s="32">
        <f>C71-B72</f>
        <v>0</v>
      </c>
      <c r="D72" s="33" t="b">
        <v>0</v>
      </c>
      <c r="E72" s="5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 spans="1:31" ht="15.75" customHeight="1" x14ac:dyDescent="0.25">
      <c r="A73" s="20" t="s">
        <v>115</v>
      </c>
      <c r="B73" s="32">
        <v>0</v>
      </c>
      <c r="C73" s="32">
        <f>C71-B73</f>
        <v>0</v>
      </c>
      <c r="D73" s="33" t="b">
        <v>0</v>
      </c>
      <c r="E73" s="5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spans="1:31" ht="15.75" customHeight="1" x14ac:dyDescent="0.25">
      <c r="A74" s="20" t="s">
        <v>116</v>
      </c>
      <c r="B74" s="32">
        <v>0</v>
      </c>
      <c r="C74" s="32">
        <f>C73-B74</f>
        <v>0</v>
      </c>
      <c r="D74" s="33" t="b">
        <v>0</v>
      </c>
      <c r="E74" s="5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 spans="1:31" ht="15.75" customHeight="1" x14ac:dyDescent="0.25">
      <c r="A75" s="34" t="s">
        <v>117</v>
      </c>
      <c r="B75" s="35">
        <v>0</v>
      </c>
      <c r="C75" s="35">
        <f>C73-B75</f>
        <v>0</v>
      </c>
      <c r="D75" s="36" t="b">
        <v>0</v>
      </c>
      <c r="E75" s="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spans="1:31" ht="15.75" customHeight="1" x14ac:dyDescent="0.25">
      <c r="A76" s="37"/>
      <c r="B76" s="27"/>
      <c r="C76" s="27"/>
      <c r="D76" s="2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 spans="1:31" ht="15.75" customHeight="1" x14ac:dyDescent="0.25">
      <c r="A77" s="38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spans="1:31" ht="15.75" customHeight="1" x14ac:dyDescent="0.25">
      <c r="A78" s="38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 spans="1:31" ht="15.75" customHeight="1" x14ac:dyDescent="0.25">
      <c r="A79" s="3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spans="1:31" ht="15.75" customHeight="1" x14ac:dyDescent="0.25">
      <c r="A80" s="38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1:31" ht="15.75" customHeight="1" x14ac:dyDescent="0.25">
      <c r="A81" s="38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spans="1:31" ht="15.75" customHeight="1" x14ac:dyDescent="0.25">
      <c r="A82" s="38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spans="1:31" ht="15.75" customHeight="1" x14ac:dyDescent="0.25">
      <c r="A83" s="38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spans="1:31" ht="15.75" customHeight="1" x14ac:dyDescent="0.25">
      <c r="A84" s="38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 spans="1:31" ht="15.75" customHeight="1" x14ac:dyDescent="0.25">
      <c r="A85" s="38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spans="1:31" ht="15.75" customHeight="1" x14ac:dyDescent="0.25">
      <c r="A86" s="38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 spans="1:31" ht="15.75" customHeight="1" x14ac:dyDescent="0.25">
      <c r="A87" s="38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spans="1:31" ht="15.75" customHeight="1" x14ac:dyDescent="0.25">
      <c r="A88" s="38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 spans="1:31" ht="15.75" customHeight="1" x14ac:dyDescent="0.25">
      <c r="A89" s="38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 spans="1:31" ht="15.75" customHeight="1" x14ac:dyDescent="0.25">
      <c r="A90" s="38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 spans="1:31" ht="15.75" customHeight="1" x14ac:dyDescent="0.25">
      <c r="A91" s="38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 spans="1:31" ht="15.75" customHeight="1" x14ac:dyDescent="0.25">
      <c r="A92" s="38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 spans="1:31" ht="15.75" customHeight="1" x14ac:dyDescent="0.25">
      <c r="A93" s="38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 spans="1:31" ht="15.75" customHeight="1" x14ac:dyDescent="0.25">
      <c r="A94" s="38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 spans="1:31" ht="15.75" customHeight="1" x14ac:dyDescent="0.25">
      <c r="A95" s="38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1:31" ht="15.75" customHeight="1" x14ac:dyDescent="0.25">
      <c r="A96" s="38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 spans="1:31" ht="15.75" customHeight="1" x14ac:dyDescent="0.25">
      <c r="A97" s="38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 spans="1:31" ht="15.75" customHeight="1" x14ac:dyDescent="0.25"/>
    <row r="99" spans="1:31" ht="15.75" customHeight="1" x14ac:dyDescent="0.25"/>
    <row r="100" spans="1:31" ht="15.75" customHeight="1" x14ac:dyDescent="0.25"/>
    <row r="101" spans="1:31" ht="15.75" customHeight="1" x14ac:dyDescent="0.25"/>
    <row r="102" spans="1:31" ht="15.75" customHeight="1" x14ac:dyDescent="0.25"/>
    <row r="103" spans="1:31" ht="15.75" customHeight="1" x14ac:dyDescent="0.25"/>
    <row r="104" spans="1:31" ht="15.75" customHeight="1" x14ac:dyDescent="0.25"/>
    <row r="105" spans="1:31" ht="15.75" customHeight="1" x14ac:dyDescent="0.25"/>
    <row r="106" spans="1:31" ht="15.75" customHeight="1" x14ac:dyDescent="0.25"/>
    <row r="107" spans="1:31" ht="15.75" customHeight="1" x14ac:dyDescent="0.25"/>
    <row r="108" spans="1:31" ht="15.75" customHeight="1" x14ac:dyDescent="0.25"/>
    <row r="109" spans="1:31" ht="15.75" customHeight="1" x14ac:dyDescent="0.25"/>
    <row r="110" spans="1:31" ht="15.75" customHeight="1" x14ac:dyDescent="0.25"/>
    <row r="111" spans="1:31" ht="15.75" customHeight="1" x14ac:dyDescent="0.25"/>
    <row r="112" spans="1:3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</sheetData>
  <mergeCells count="42">
    <mergeCell ref="A42:J42"/>
    <mergeCell ref="A50:J50"/>
    <mergeCell ref="A55:E55"/>
    <mergeCell ref="A57:B57"/>
    <mergeCell ref="A58:D58"/>
    <mergeCell ref="A61:D61"/>
    <mergeCell ref="A64:D64"/>
    <mergeCell ref="A67:D67"/>
    <mergeCell ref="J34:J41"/>
    <mergeCell ref="G11:G15"/>
    <mergeCell ref="J11:J15"/>
    <mergeCell ref="G17:G18"/>
    <mergeCell ref="J17:J18"/>
    <mergeCell ref="J22:J28"/>
    <mergeCell ref="G30:G32"/>
    <mergeCell ref="G34:G41"/>
    <mergeCell ref="A19:J19"/>
    <mergeCell ref="A21:J21"/>
    <mergeCell ref="A29:J29"/>
    <mergeCell ref="A33:J33"/>
    <mergeCell ref="B34:B41"/>
    <mergeCell ref="C34:C41"/>
    <mergeCell ref="E34:E41"/>
    <mergeCell ref="B11:B15"/>
    <mergeCell ref="B17:B18"/>
    <mergeCell ref="C17:C18"/>
    <mergeCell ref="E17:E18"/>
    <mergeCell ref="C22:C28"/>
    <mergeCell ref="E22:E28"/>
    <mergeCell ref="A16:J16"/>
    <mergeCell ref="B22:B28"/>
    <mergeCell ref="B30:B32"/>
    <mergeCell ref="C30:C32"/>
    <mergeCell ref="E30:E32"/>
    <mergeCell ref="G22:G28"/>
    <mergeCell ref="J30:J32"/>
    <mergeCell ref="A1:E1"/>
    <mergeCell ref="L1:Q1"/>
    <mergeCell ref="A3:J3"/>
    <mergeCell ref="A10:J10"/>
    <mergeCell ref="C11:C15"/>
    <mergeCell ref="E11:E15"/>
  </mergeCells>
  <conditionalFormatting sqref="Q4:Q9">
    <cfRule type="colorScale" priority="1">
      <colorScale>
        <cfvo type="min"/>
        <cfvo type="max"/>
        <color rgb="FFFFFFFF"/>
        <color rgb="FF57BB8A"/>
      </colorScale>
    </cfRule>
  </conditionalFormatting>
  <dataValidations count="2">
    <dataValidation type="list" allowBlank="1" showErrorMessage="1" sqref="G4:G9 G11 G17 G20 G30 G34 G43:G49 G51:G54" xr:uid="{00000000-0002-0000-0300-000000000000}">
      <formula1>"Pago,Pendente"</formula1>
    </dataValidation>
    <dataValidation type="list" allowBlank="1" showErrorMessage="1" sqref="Q4:Q9" xr:uid="{00000000-0002-0000-0300-000001000000}">
      <formula1>"Recebido,Pendente"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E949"/>
  <sheetViews>
    <sheetView workbookViewId="0"/>
  </sheetViews>
  <sheetFormatPr defaultColWidth="12.6640625" defaultRowHeight="15" customHeight="1" x14ac:dyDescent="0.25"/>
  <cols>
    <col min="1" max="1" width="51.6640625" customWidth="1"/>
    <col min="2" max="2" width="18" customWidth="1"/>
    <col min="3" max="3" width="16" customWidth="1"/>
    <col min="4" max="4" width="14" customWidth="1"/>
    <col min="5" max="5" width="12" customWidth="1"/>
    <col min="6" max="6" width="14" customWidth="1"/>
    <col min="7" max="7" width="12.77734375" customWidth="1"/>
    <col min="8" max="10" width="16" customWidth="1"/>
    <col min="11" max="11" width="9.109375" customWidth="1"/>
    <col min="12" max="12" width="28" customWidth="1"/>
    <col min="13" max="15" width="14" customWidth="1"/>
    <col min="16" max="16" width="18" customWidth="1"/>
    <col min="17" max="17" width="17.6640625" customWidth="1"/>
  </cols>
  <sheetData>
    <row r="1" spans="1:31" ht="15.75" customHeight="1" x14ac:dyDescent="0.25">
      <c r="A1" s="74" t="s">
        <v>156</v>
      </c>
      <c r="B1" s="75"/>
      <c r="C1" s="75"/>
      <c r="D1" s="75"/>
      <c r="E1" s="76"/>
      <c r="F1" s="1" t="s">
        <v>0</v>
      </c>
      <c r="G1" s="2"/>
      <c r="H1" s="28" t="e">
        <f>M9+#REF!</f>
        <v>#REF!</v>
      </c>
      <c r="I1" s="39"/>
      <c r="J1" s="3"/>
      <c r="K1" s="4"/>
      <c r="L1" s="77" t="s">
        <v>1</v>
      </c>
      <c r="M1" s="75"/>
      <c r="N1" s="75"/>
      <c r="O1" s="75"/>
      <c r="P1" s="75"/>
      <c r="Q1" s="78"/>
      <c r="R1" s="5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ht="15.75" customHeight="1" x14ac:dyDescent="0.25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40" t="s">
        <v>119</v>
      </c>
      <c r="J2" s="9" t="s">
        <v>10</v>
      </c>
      <c r="K2" s="4"/>
      <c r="L2" s="7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9" t="s">
        <v>16</v>
      </c>
      <c r="R2" s="10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5.75" customHeight="1" x14ac:dyDescent="0.3">
      <c r="A3" s="65" t="s">
        <v>137</v>
      </c>
      <c r="B3" s="66"/>
      <c r="C3" s="66"/>
      <c r="D3" s="66"/>
      <c r="E3" s="66"/>
      <c r="F3" s="66"/>
      <c r="G3" s="66"/>
      <c r="H3" s="66"/>
      <c r="I3" s="66"/>
      <c r="J3" s="67"/>
      <c r="K3" s="4"/>
      <c r="L3" s="12"/>
      <c r="M3" s="13"/>
      <c r="N3" s="13"/>
      <c r="O3" s="13"/>
      <c r="P3" s="13"/>
      <c r="Q3" s="14"/>
      <c r="R3" s="5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5.75" customHeight="1" x14ac:dyDescent="0.25">
      <c r="A4" s="15" t="s">
        <v>17</v>
      </c>
      <c r="B4" s="16" t="s">
        <v>18</v>
      </c>
      <c r="C4" s="16" t="s">
        <v>19</v>
      </c>
      <c r="D4" s="16" t="s">
        <v>20</v>
      </c>
      <c r="E4" s="16" t="s">
        <v>20</v>
      </c>
      <c r="F4" s="17">
        <v>65</v>
      </c>
      <c r="G4" s="18" t="s">
        <v>89</v>
      </c>
      <c r="H4" s="17" t="e">
        <f>H1-F4</f>
        <v>#REF!</v>
      </c>
      <c r="I4" s="41"/>
      <c r="J4" s="19"/>
      <c r="K4" s="4"/>
      <c r="L4" s="20" t="s">
        <v>21</v>
      </c>
      <c r="M4" s="21">
        <v>2540</v>
      </c>
      <c r="N4" s="21">
        <v>580</v>
      </c>
      <c r="O4" s="21">
        <v>264</v>
      </c>
      <c r="P4" s="22">
        <v>5</v>
      </c>
      <c r="Q4" s="14" t="s">
        <v>89</v>
      </c>
      <c r="R4" s="5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ht="15.75" customHeight="1" x14ac:dyDescent="0.25">
      <c r="A5" s="15" t="s">
        <v>22</v>
      </c>
      <c r="B5" s="16" t="s">
        <v>23</v>
      </c>
      <c r="C5" s="16" t="s">
        <v>24</v>
      </c>
      <c r="D5" s="16" t="s">
        <v>20</v>
      </c>
      <c r="E5" s="16">
        <v>7</v>
      </c>
      <c r="F5" s="17">
        <v>1371.16</v>
      </c>
      <c r="G5" s="18" t="s">
        <v>89</v>
      </c>
      <c r="H5" s="17" t="e">
        <f t="shared" ref="H5:H9" si="0">H4-F5</f>
        <v>#REF!</v>
      </c>
      <c r="I5" s="41"/>
      <c r="J5" s="19"/>
      <c r="K5" s="4"/>
      <c r="L5" s="20" t="s">
        <v>25</v>
      </c>
      <c r="M5" s="21">
        <v>2000</v>
      </c>
      <c r="N5" s="23" t="s">
        <v>20</v>
      </c>
      <c r="O5" s="23" t="s">
        <v>20</v>
      </c>
      <c r="P5" s="22">
        <v>10</v>
      </c>
      <c r="Q5" s="14" t="s">
        <v>89</v>
      </c>
      <c r="R5" s="5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ht="15.75" customHeight="1" x14ac:dyDescent="0.25">
      <c r="A6" s="15" t="s">
        <v>26</v>
      </c>
      <c r="B6" s="16" t="s">
        <v>27</v>
      </c>
      <c r="C6" s="16" t="s">
        <v>24</v>
      </c>
      <c r="D6" s="16" t="s">
        <v>20</v>
      </c>
      <c r="E6" s="16">
        <v>7</v>
      </c>
      <c r="F6" s="17">
        <v>473.45</v>
      </c>
      <c r="G6" s="18" t="s">
        <v>89</v>
      </c>
      <c r="H6" s="17" t="e">
        <f t="shared" si="0"/>
        <v>#REF!</v>
      </c>
      <c r="I6" s="41"/>
      <c r="J6" s="19"/>
      <c r="K6" s="4"/>
      <c r="L6" s="20" t="s">
        <v>28</v>
      </c>
      <c r="M6" s="21">
        <v>400</v>
      </c>
      <c r="N6" s="23" t="s">
        <v>20</v>
      </c>
      <c r="O6" s="23" t="s">
        <v>20</v>
      </c>
      <c r="P6" s="22">
        <v>10</v>
      </c>
      <c r="Q6" s="14" t="s">
        <v>89</v>
      </c>
      <c r="R6" s="5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ht="15.75" customHeight="1" x14ac:dyDescent="0.25">
      <c r="A7" s="15" t="s">
        <v>29</v>
      </c>
      <c r="B7" s="16" t="s">
        <v>30</v>
      </c>
      <c r="C7" s="16" t="s">
        <v>31</v>
      </c>
      <c r="D7" s="16" t="s">
        <v>20</v>
      </c>
      <c r="E7" s="16">
        <v>20</v>
      </c>
      <c r="F7" s="17">
        <v>127.99</v>
      </c>
      <c r="G7" s="18" t="s">
        <v>89</v>
      </c>
      <c r="H7" s="17" t="e">
        <f t="shared" si="0"/>
        <v>#REF!</v>
      </c>
      <c r="I7" s="41"/>
      <c r="J7" s="19"/>
      <c r="K7" s="4" t="s">
        <v>149</v>
      </c>
      <c r="L7" s="20" t="s">
        <v>34</v>
      </c>
      <c r="M7" s="21">
        <v>500</v>
      </c>
      <c r="N7" s="23" t="s">
        <v>20</v>
      </c>
      <c r="O7" s="23" t="s">
        <v>20</v>
      </c>
      <c r="P7" s="22">
        <v>10</v>
      </c>
      <c r="Q7" s="14" t="s">
        <v>89</v>
      </c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 ht="15.75" customHeight="1" x14ac:dyDescent="0.25">
      <c r="A8" s="15" t="s">
        <v>32</v>
      </c>
      <c r="B8" s="16" t="s">
        <v>33</v>
      </c>
      <c r="C8" s="16" t="s">
        <v>31</v>
      </c>
      <c r="D8" s="16" t="s">
        <v>20</v>
      </c>
      <c r="E8" s="16">
        <v>10</v>
      </c>
      <c r="F8" s="17">
        <v>40.909999999999997</v>
      </c>
      <c r="G8" s="18" t="s">
        <v>89</v>
      </c>
      <c r="H8" s="17" t="e">
        <f t="shared" si="0"/>
        <v>#REF!</v>
      </c>
      <c r="I8" s="41"/>
      <c r="J8" s="19"/>
      <c r="K8" s="4"/>
      <c r="L8" s="20" t="s">
        <v>37</v>
      </c>
      <c r="M8" s="21">
        <v>800</v>
      </c>
      <c r="N8" s="23" t="s">
        <v>20</v>
      </c>
      <c r="O8" s="23" t="s">
        <v>20</v>
      </c>
      <c r="P8" s="22">
        <v>15</v>
      </c>
      <c r="Q8" s="14" t="s">
        <v>89</v>
      </c>
      <c r="R8" s="5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1" ht="15.75" customHeight="1" x14ac:dyDescent="0.25">
      <c r="A9" s="15" t="s">
        <v>35</v>
      </c>
      <c r="B9" s="16" t="s">
        <v>36</v>
      </c>
      <c r="C9" s="16" t="s">
        <v>31</v>
      </c>
      <c r="D9" s="16" t="s">
        <v>20</v>
      </c>
      <c r="E9" s="16">
        <v>17</v>
      </c>
      <c r="F9" s="17">
        <v>99.99</v>
      </c>
      <c r="G9" s="18" t="s">
        <v>89</v>
      </c>
      <c r="H9" s="17" t="e">
        <f t="shared" si="0"/>
        <v>#REF!</v>
      </c>
      <c r="I9" s="41"/>
      <c r="J9" s="19"/>
      <c r="K9" s="4"/>
      <c r="L9" s="24"/>
      <c r="M9" s="25">
        <f>SUM(M4:M8)</f>
        <v>6240</v>
      </c>
      <c r="N9" s="25"/>
      <c r="O9" s="25"/>
      <c r="P9" s="26"/>
      <c r="Q9" s="14"/>
      <c r="R9" s="5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ht="15.75" customHeight="1" x14ac:dyDescent="0.25">
      <c r="A10" s="65" t="s">
        <v>38</v>
      </c>
      <c r="B10" s="66"/>
      <c r="C10" s="66"/>
      <c r="D10" s="66"/>
      <c r="E10" s="66"/>
      <c r="F10" s="66"/>
      <c r="G10" s="66"/>
      <c r="H10" s="66"/>
      <c r="I10" s="66"/>
      <c r="J10" s="67"/>
      <c r="K10" s="4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15.75" customHeight="1" x14ac:dyDescent="0.25">
      <c r="A11" s="15" t="s">
        <v>40</v>
      </c>
      <c r="B11" s="64"/>
      <c r="C11" s="64"/>
      <c r="D11" s="16" t="s">
        <v>157</v>
      </c>
      <c r="E11" s="64"/>
      <c r="F11" s="17">
        <v>286.81</v>
      </c>
      <c r="G11" s="58" t="s">
        <v>89</v>
      </c>
      <c r="H11" s="17" t="e">
        <f>H9-F11</f>
        <v>#REF!</v>
      </c>
      <c r="I11" s="42">
        <f>F11*10</f>
        <v>2868.1</v>
      </c>
      <c r="J11" s="73">
        <f>SUM(F11:F14)</f>
        <v>761.57999999999993</v>
      </c>
      <c r="K11" s="5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15.75" customHeight="1" x14ac:dyDescent="0.25">
      <c r="A12" s="47" t="s">
        <v>42</v>
      </c>
      <c r="B12" s="59"/>
      <c r="C12" s="59"/>
      <c r="D12" s="48" t="s">
        <v>138</v>
      </c>
      <c r="E12" s="59"/>
      <c r="F12" s="49">
        <v>375</v>
      </c>
      <c r="G12" s="59"/>
      <c r="H12" s="49" t="e">
        <f t="shared" ref="H12:H14" si="1">H11-F12</f>
        <v>#REF!</v>
      </c>
      <c r="I12" s="50">
        <f>F12*2</f>
        <v>750</v>
      </c>
      <c r="J12" s="62"/>
      <c r="K12" s="5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ht="15.75" customHeight="1" x14ac:dyDescent="0.25">
      <c r="A13" s="15" t="s">
        <v>45</v>
      </c>
      <c r="B13" s="59"/>
      <c r="C13" s="59"/>
      <c r="D13" s="16" t="s">
        <v>138</v>
      </c>
      <c r="E13" s="59"/>
      <c r="F13" s="17">
        <v>59.02</v>
      </c>
      <c r="G13" s="59"/>
      <c r="H13" s="17" t="e">
        <f t="shared" si="1"/>
        <v>#REF!</v>
      </c>
      <c r="I13" s="42">
        <f>F13*4</f>
        <v>236.08</v>
      </c>
      <c r="J13" s="62"/>
      <c r="K13" s="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ht="15.75" customHeight="1" x14ac:dyDescent="0.25">
      <c r="A14" s="15" t="s">
        <v>47</v>
      </c>
      <c r="B14" s="60"/>
      <c r="C14" s="60"/>
      <c r="D14" s="16" t="s">
        <v>122</v>
      </c>
      <c r="E14" s="60"/>
      <c r="F14" s="17">
        <v>40.75</v>
      </c>
      <c r="G14" s="60"/>
      <c r="H14" s="17" t="e">
        <f t="shared" si="1"/>
        <v>#REF!</v>
      </c>
      <c r="I14" s="42">
        <f>F14*5</f>
        <v>203.75</v>
      </c>
      <c r="J14" s="63"/>
      <c r="K14" s="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ht="15.75" customHeight="1" x14ac:dyDescent="0.25">
      <c r="A15" s="65" t="s">
        <v>50</v>
      </c>
      <c r="B15" s="66"/>
      <c r="C15" s="66"/>
      <c r="D15" s="66"/>
      <c r="E15" s="66"/>
      <c r="F15" s="66"/>
      <c r="G15" s="66"/>
      <c r="H15" s="66"/>
      <c r="I15" s="66"/>
      <c r="J15" s="67"/>
      <c r="K15" s="5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ht="15.75" customHeight="1" x14ac:dyDescent="0.25">
      <c r="A16" s="15" t="s">
        <v>51</v>
      </c>
      <c r="B16" s="64" t="s">
        <v>52</v>
      </c>
      <c r="C16" s="64" t="s">
        <v>39</v>
      </c>
      <c r="D16" s="16" t="s">
        <v>46</v>
      </c>
      <c r="E16" s="64" t="s">
        <v>54</v>
      </c>
      <c r="F16" s="17">
        <v>33.67</v>
      </c>
      <c r="G16" s="58" t="s">
        <v>89</v>
      </c>
      <c r="H16" s="17" t="e">
        <f>H14-F16</f>
        <v>#REF!</v>
      </c>
      <c r="I16" s="42">
        <f t="shared" ref="I16:I17" si="2">F16*9</f>
        <v>303.03000000000003</v>
      </c>
      <c r="J16" s="73">
        <f>SUM(F16:F17)</f>
        <v>59.67</v>
      </c>
      <c r="K16" s="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ht="15.75" customHeight="1" x14ac:dyDescent="0.25">
      <c r="A17" s="15" t="s">
        <v>55</v>
      </c>
      <c r="B17" s="60"/>
      <c r="C17" s="60"/>
      <c r="D17" s="16" t="s">
        <v>46</v>
      </c>
      <c r="E17" s="60"/>
      <c r="F17" s="17">
        <v>26</v>
      </c>
      <c r="G17" s="60"/>
      <c r="H17" s="17" t="e">
        <f>H16-F17</f>
        <v>#REF!</v>
      </c>
      <c r="I17" s="42">
        <f t="shared" si="2"/>
        <v>234</v>
      </c>
      <c r="J17" s="63"/>
      <c r="K17" s="5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ht="15.75" customHeight="1" x14ac:dyDescent="0.25">
      <c r="A18" s="65" t="s">
        <v>56</v>
      </c>
      <c r="B18" s="66"/>
      <c r="C18" s="66"/>
      <c r="D18" s="66"/>
      <c r="E18" s="66"/>
      <c r="F18" s="66"/>
      <c r="G18" s="66"/>
      <c r="H18" s="66"/>
      <c r="I18" s="66"/>
      <c r="J18" s="67"/>
      <c r="K18" s="5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ht="15.75" customHeight="1" x14ac:dyDescent="0.25">
      <c r="A19" s="15" t="s">
        <v>141</v>
      </c>
      <c r="B19" s="16" t="s">
        <v>57</v>
      </c>
      <c r="C19" s="16" t="s">
        <v>39</v>
      </c>
      <c r="D19" s="16" t="s">
        <v>20</v>
      </c>
      <c r="E19" s="16" t="s">
        <v>54</v>
      </c>
      <c r="F19" s="17">
        <v>0</v>
      </c>
      <c r="G19" s="18" t="s">
        <v>89</v>
      </c>
      <c r="H19" s="17" t="e">
        <f>H17-F19</f>
        <v>#REF!</v>
      </c>
      <c r="I19" s="43"/>
      <c r="J19" s="44">
        <f>SUM(F19)</f>
        <v>0</v>
      </c>
      <c r="K19" s="5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ht="15.75" customHeight="1" x14ac:dyDescent="0.25">
      <c r="A20" s="65" t="s">
        <v>58</v>
      </c>
      <c r="B20" s="66"/>
      <c r="C20" s="66"/>
      <c r="D20" s="66"/>
      <c r="E20" s="66"/>
      <c r="F20" s="66"/>
      <c r="G20" s="66"/>
      <c r="H20" s="66"/>
      <c r="I20" s="66"/>
      <c r="J20" s="67"/>
      <c r="K20" s="5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ht="15.75" customHeight="1" x14ac:dyDescent="0.25">
      <c r="A21" s="15" t="s">
        <v>60</v>
      </c>
      <c r="B21" s="64"/>
      <c r="C21" s="64"/>
      <c r="D21" s="16" t="s">
        <v>157</v>
      </c>
      <c r="E21" s="64"/>
      <c r="F21" s="17">
        <v>25.98</v>
      </c>
      <c r="G21" s="58"/>
      <c r="H21" s="17" t="e">
        <f>H19-F21</f>
        <v>#REF!</v>
      </c>
      <c r="I21" s="43">
        <f>F21*10</f>
        <v>259.8</v>
      </c>
      <c r="J21" s="81"/>
      <c r="K21" s="5"/>
      <c r="L21" s="51">
        <f>I31</f>
        <v>1454.9</v>
      </c>
      <c r="M21" s="6" t="e">
        <f>#REF!-L21</f>
        <v>#REF!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ht="15.75" customHeight="1" x14ac:dyDescent="0.25">
      <c r="A22" s="15" t="s">
        <v>61</v>
      </c>
      <c r="B22" s="59"/>
      <c r="C22" s="59"/>
      <c r="D22" s="16" t="s">
        <v>158</v>
      </c>
      <c r="E22" s="59"/>
      <c r="F22" s="17">
        <v>143</v>
      </c>
      <c r="G22" s="59"/>
      <c r="H22" s="17" t="e">
        <f t="shared" ref="H22:H27" si="3">H21-F22</f>
        <v>#REF!</v>
      </c>
      <c r="I22" s="43">
        <f>F22*3</f>
        <v>429</v>
      </c>
      <c r="J22" s="62"/>
      <c r="K22" s="5"/>
      <c r="L22" s="6">
        <v>0</v>
      </c>
      <c r="M22" s="6" t="e">
        <f>M21-L22</f>
        <v>#REF!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1" ht="15.75" customHeight="1" x14ac:dyDescent="0.25">
      <c r="A23" s="15" t="s">
        <v>62</v>
      </c>
      <c r="B23" s="59"/>
      <c r="C23" s="59"/>
      <c r="D23" s="16" t="s">
        <v>157</v>
      </c>
      <c r="E23" s="59"/>
      <c r="F23" s="17">
        <v>133.37</v>
      </c>
      <c r="G23" s="59"/>
      <c r="H23" s="17" t="e">
        <f t="shared" si="3"/>
        <v>#REF!</v>
      </c>
      <c r="I23" s="43">
        <f>F23*10</f>
        <v>1333.7</v>
      </c>
      <c r="J23" s="62"/>
      <c r="K23" s="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ht="15.75" customHeight="1" x14ac:dyDescent="0.25">
      <c r="A24" s="15" t="s">
        <v>63</v>
      </c>
      <c r="B24" s="59"/>
      <c r="C24" s="59"/>
      <c r="D24" s="16" t="s">
        <v>122</v>
      </c>
      <c r="E24" s="59"/>
      <c r="F24" s="17">
        <v>133.33000000000001</v>
      </c>
      <c r="G24" s="59"/>
      <c r="H24" s="17" t="e">
        <f t="shared" si="3"/>
        <v>#REF!</v>
      </c>
      <c r="I24" s="43">
        <f>F24*5</f>
        <v>666.65000000000009</v>
      </c>
      <c r="J24" s="62"/>
      <c r="K24" s="5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ht="15.75" customHeight="1" x14ac:dyDescent="0.25">
      <c r="A25" s="15" t="s">
        <v>64</v>
      </c>
      <c r="B25" s="59"/>
      <c r="C25" s="59"/>
      <c r="D25" s="16" t="s">
        <v>159</v>
      </c>
      <c r="E25" s="59"/>
      <c r="F25" s="17">
        <v>15.52</v>
      </c>
      <c r="G25" s="59"/>
      <c r="H25" s="17" t="e">
        <f t="shared" si="3"/>
        <v>#REF!</v>
      </c>
      <c r="I25" s="43">
        <f>F25*3</f>
        <v>46.56</v>
      </c>
      <c r="J25" s="62"/>
      <c r="K25" s="5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ht="15.75" customHeight="1" x14ac:dyDescent="0.25">
      <c r="A26" s="15" t="s">
        <v>65</v>
      </c>
      <c r="B26" s="59"/>
      <c r="C26" s="59"/>
      <c r="D26" s="16" t="s">
        <v>122</v>
      </c>
      <c r="E26" s="59"/>
      <c r="F26" s="17">
        <v>57.99</v>
      </c>
      <c r="G26" s="59"/>
      <c r="H26" s="17" t="e">
        <f t="shared" si="3"/>
        <v>#REF!</v>
      </c>
      <c r="I26" s="43">
        <f>F26*5</f>
        <v>289.95</v>
      </c>
      <c r="J26" s="62"/>
      <c r="K26" s="5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ht="15.75" customHeight="1" x14ac:dyDescent="0.25">
      <c r="A27" s="15" t="s">
        <v>66</v>
      </c>
      <c r="B27" s="60"/>
      <c r="C27" s="60"/>
      <c r="D27" s="16" t="s">
        <v>122</v>
      </c>
      <c r="E27" s="60"/>
      <c r="F27" s="17">
        <v>16.62</v>
      </c>
      <c r="G27" s="60"/>
      <c r="H27" s="17" t="e">
        <f t="shared" si="3"/>
        <v>#REF!</v>
      </c>
      <c r="I27" s="43">
        <f>F27+5</f>
        <v>21.62</v>
      </c>
      <c r="J27" s="63"/>
      <c r="K27" s="5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ht="15.75" customHeight="1" x14ac:dyDescent="0.25">
      <c r="A28" s="65" t="s">
        <v>68</v>
      </c>
      <c r="B28" s="66"/>
      <c r="C28" s="66"/>
      <c r="D28" s="66"/>
      <c r="E28" s="66"/>
      <c r="F28" s="66"/>
      <c r="G28" s="66"/>
      <c r="H28" s="66"/>
      <c r="I28" s="66"/>
      <c r="J28" s="67"/>
      <c r="K28" s="5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ht="15.75" customHeight="1" x14ac:dyDescent="0.25">
      <c r="A29" s="15" t="s">
        <v>69</v>
      </c>
      <c r="B29" s="64" t="s">
        <v>70</v>
      </c>
      <c r="C29" s="64" t="s">
        <v>39</v>
      </c>
      <c r="D29" s="16" t="s">
        <v>160</v>
      </c>
      <c r="E29" s="64" t="s">
        <v>54</v>
      </c>
      <c r="F29" s="17">
        <v>81.66</v>
      </c>
      <c r="G29" s="58" t="s">
        <v>89</v>
      </c>
      <c r="H29" s="17" t="e">
        <f>H27-F29</f>
        <v>#REF!</v>
      </c>
      <c r="I29" s="43">
        <f>F29*8</f>
        <v>653.28</v>
      </c>
      <c r="J29" s="79">
        <f>SUM(F29:F31)</f>
        <v>285.14</v>
      </c>
      <c r="K29" s="5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ht="15.75" customHeight="1" x14ac:dyDescent="0.25">
      <c r="A30" s="15" t="s">
        <v>65</v>
      </c>
      <c r="B30" s="59"/>
      <c r="C30" s="59"/>
      <c r="D30" s="16" t="s">
        <v>122</v>
      </c>
      <c r="E30" s="59"/>
      <c r="F30" s="17">
        <v>57.99</v>
      </c>
      <c r="G30" s="59"/>
      <c r="H30" s="17" t="e">
        <f t="shared" ref="H30:H31" si="4">H29-F30</f>
        <v>#REF!</v>
      </c>
      <c r="I30" s="43">
        <f>F30*5</f>
        <v>289.95</v>
      </c>
      <c r="J30" s="62"/>
      <c r="K30" s="5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spans="1:31" ht="15.75" customHeight="1" x14ac:dyDescent="0.25">
      <c r="A31" s="52" t="s">
        <v>71</v>
      </c>
      <c r="B31" s="60"/>
      <c r="C31" s="60"/>
      <c r="D31" s="53" t="s">
        <v>157</v>
      </c>
      <c r="E31" s="60"/>
      <c r="F31" s="54">
        <v>145.49</v>
      </c>
      <c r="G31" s="60"/>
      <c r="H31" s="54" t="e">
        <f t="shared" si="4"/>
        <v>#REF!</v>
      </c>
      <c r="I31" s="55">
        <f>F31*10</f>
        <v>1454.9</v>
      </c>
      <c r="J31" s="63"/>
      <c r="K31" s="5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1" ht="15.75" customHeight="1" x14ac:dyDescent="0.25">
      <c r="A32" s="65" t="s">
        <v>72</v>
      </c>
      <c r="B32" s="66"/>
      <c r="C32" s="66"/>
      <c r="D32" s="66"/>
      <c r="E32" s="66"/>
      <c r="F32" s="66"/>
      <c r="G32" s="66"/>
      <c r="H32" s="66"/>
      <c r="I32" s="66"/>
      <c r="J32" s="67"/>
      <c r="K32" s="5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spans="1:31" ht="15.75" customHeight="1" x14ac:dyDescent="0.25">
      <c r="A33" s="15" t="s">
        <v>127</v>
      </c>
      <c r="B33" s="64" t="s">
        <v>73</v>
      </c>
      <c r="C33" s="64" t="s">
        <v>39</v>
      </c>
      <c r="D33" s="16" t="s">
        <v>157</v>
      </c>
      <c r="E33" s="64" t="s">
        <v>74</v>
      </c>
      <c r="F33" s="29">
        <v>68.42</v>
      </c>
      <c r="G33" s="58" t="s">
        <v>89</v>
      </c>
      <c r="H33" s="17" t="e">
        <f>H31-F33</f>
        <v>#REF!</v>
      </c>
      <c r="I33" s="43">
        <f t="shared" ref="I33:I35" si="5">F33*10</f>
        <v>684.2</v>
      </c>
      <c r="J33" s="61">
        <f>SUM(F33:F35)</f>
        <v>136.22</v>
      </c>
      <c r="K33" s="5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spans="1:31" ht="15.75" customHeight="1" x14ac:dyDescent="0.25">
      <c r="A34" s="15" t="s">
        <v>128</v>
      </c>
      <c r="B34" s="59"/>
      <c r="C34" s="59"/>
      <c r="D34" s="16" t="s">
        <v>157</v>
      </c>
      <c r="E34" s="59"/>
      <c r="F34" s="29">
        <v>40.68</v>
      </c>
      <c r="G34" s="59"/>
      <c r="H34" s="17" t="e">
        <f t="shared" ref="H34:H37" si="6">H33-F34</f>
        <v>#REF!</v>
      </c>
      <c r="I34" s="43">
        <f t="shared" si="5"/>
        <v>406.8</v>
      </c>
      <c r="J34" s="62"/>
      <c r="K34" s="5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spans="1:31" ht="15.75" customHeight="1" x14ac:dyDescent="0.25">
      <c r="A35" s="15" t="s">
        <v>129</v>
      </c>
      <c r="B35" s="59"/>
      <c r="C35" s="59"/>
      <c r="D35" s="16" t="s">
        <v>157</v>
      </c>
      <c r="E35" s="59"/>
      <c r="F35" s="29">
        <v>27.12</v>
      </c>
      <c r="G35" s="59"/>
      <c r="H35" s="17" t="e">
        <f t="shared" si="6"/>
        <v>#REF!</v>
      </c>
      <c r="I35" s="43">
        <f t="shared" si="5"/>
        <v>271.2</v>
      </c>
      <c r="J35" s="62"/>
      <c r="K35" s="5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31" ht="15.75" customHeight="1" x14ac:dyDescent="0.25">
      <c r="A36" s="15" t="s">
        <v>132</v>
      </c>
      <c r="B36" s="59"/>
      <c r="C36" s="59"/>
      <c r="D36" s="16" t="s">
        <v>161</v>
      </c>
      <c r="E36" s="59"/>
      <c r="F36" s="29">
        <v>7.56</v>
      </c>
      <c r="G36" s="59"/>
      <c r="H36" s="17" t="e">
        <f t="shared" si="6"/>
        <v>#REF!</v>
      </c>
      <c r="I36" s="43">
        <f>F36*3</f>
        <v>22.68</v>
      </c>
      <c r="J36" s="62"/>
      <c r="K36" s="5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spans="1:31" ht="15.75" customHeight="1" x14ac:dyDescent="0.25">
      <c r="A37" s="15" t="s">
        <v>136</v>
      </c>
      <c r="B37" s="60"/>
      <c r="C37" s="60"/>
      <c r="D37" s="16" t="s">
        <v>140</v>
      </c>
      <c r="E37" s="60"/>
      <c r="F37" s="29">
        <v>57.86</v>
      </c>
      <c r="G37" s="60"/>
      <c r="H37" s="17" t="e">
        <f t="shared" si="6"/>
        <v>#REF!</v>
      </c>
      <c r="I37" s="43">
        <f>F37*10</f>
        <v>578.6</v>
      </c>
      <c r="J37" s="63"/>
      <c r="K37" s="5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spans="1:31" ht="15.75" customHeight="1" x14ac:dyDescent="0.25">
      <c r="A38" s="65" t="s">
        <v>75</v>
      </c>
      <c r="B38" s="66"/>
      <c r="C38" s="66"/>
      <c r="D38" s="66"/>
      <c r="E38" s="66"/>
      <c r="F38" s="66"/>
      <c r="G38" s="66"/>
      <c r="H38" s="66"/>
      <c r="I38" s="66"/>
      <c r="J38" s="67"/>
      <c r="K38" s="5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spans="1:31" ht="15.75" customHeight="1" x14ac:dyDescent="0.25">
      <c r="A39" s="15" t="s">
        <v>76</v>
      </c>
      <c r="B39" s="16" t="s">
        <v>77</v>
      </c>
      <c r="C39" s="16" t="s">
        <v>31</v>
      </c>
      <c r="D39" s="16" t="s">
        <v>20</v>
      </c>
      <c r="E39" s="16" t="s">
        <v>54</v>
      </c>
      <c r="F39" s="17">
        <v>856.34</v>
      </c>
      <c r="G39" s="18" t="s">
        <v>89</v>
      </c>
      <c r="H39" s="17" t="e">
        <f>H37-F39</f>
        <v>#REF!</v>
      </c>
      <c r="I39" s="41"/>
      <c r="J39" s="19"/>
      <c r="K39" s="5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ht="15.75" customHeight="1" x14ac:dyDescent="0.25">
      <c r="A40" s="15" t="s">
        <v>78</v>
      </c>
      <c r="B40" s="16" t="s">
        <v>20</v>
      </c>
      <c r="C40" s="18"/>
      <c r="D40" s="16"/>
      <c r="E40" s="16" t="s">
        <v>20</v>
      </c>
      <c r="F40" s="17">
        <v>90</v>
      </c>
      <c r="G40" s="18" t="s">
        <v>89</v>
      </c>
      <c r="H40" s="17" t="e">
        <f t="shared" ref="H40:H45" si="7">H39-F40</f>
        <v>#REF!</v>
      </c>
      <c r="I40" s="41"/>
      <c r="J40" s="19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1" ht="15.75" customHeight="1" x14ac:dyDescent="0.25">
      <c r="A41" s="15" t="s">
        <v>88</v>
      </c>
      <c r="B41" s="16" t="s">
        <v>20</v>
      </c>
      <c r="C41" s="16" t="s">
        <v>85</v>
      </c>
      <c r="D41" s="16" t="s">
        <v>20</v>
      </c>
      <c r="E41" s="16" t="s">
        <v>20</v>
      </c>
      <c r="F41" s="29">
        <v>150</v>
      </c>
      <c r="G41" s="18" t="s">
        <v>89</v>
      </c>
      <c r="H41" s="17" t="e">
        <f t="shared" si="7"/>
        <v>#REF!</v>
      </c>
      <c r="I41" s="41"/>
      <c r="J41" s="19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ht="15.75" customHeight="1" x14ac:dyDescent="0.25">
      <c r="A42" s="15" t="s">
        <v>79</v>
      </c>
      <c r="B42" s="16" t="s">
        <v>80</v>
      </c>
      <c r="C42" s="18" t="s">
        <v>81</v>
      </c>
      <c r="D42" s="16" t="s">
        <v>20</v>
      </c>
      <c r="E42" s="16" t="s">
        <v>82</v>
      </c>
      <c r="F42" s="17">
        <v>40.9</v>
      </c>
      <c r="G42" s="18" t="s">
        <v>89</v>
      </c>
      <c r="H42" s="17" t="e">
        <f t="shared" si="7"/>
        <v>#REF!</v>
      </c>
      <c r="I42" s="41"/>
      <c r="J42" s="19"/>
      <c r="K42" s="5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ht="15.75" customHeight="1" x14ac:dyDescent="0.25">
      <c r="A43" s="15" t="s">
        <v>83</v>
      </c>
      <c r="B43" s="16" t="s">
        <v>84</v>
      </c>
      <c r="C43" s="16" t="s">
        <v>85</v>
      </c>
      <c r="D43" s="16" t="s">
        <v>20</v>
      </c>
      <c r="E43" s="18" t="s">
        <v>54</v>
      </c>
      <c r="F43" s="17">
        <v>100</v>
      </c>
      <c r="G43" s="18" t="s">
        <v>89</v>
      </c>
      <c r="H43" s="17" t="e">
        <f t="shared" si="7"/>
        <v>#REF!</v>
      </c>
      <c r="I43" s="41"/>
      <c r="J43" s="19"/>
      <c r="K43" s="5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ht="15.75" customHeight="1" x14ac:dyDescent="0.25">
      <c r="A44" s="15" t="s">
        <v>118</v>
      </c>
      <c r="B44" s="16" t="s">
        <v>59</v>
      </c>
      <c r="C44" s="16" t="s">
        <v>85</v>
      </c>
      <c r="D44" s="16" t="s">
        <v>20</v>
      </c>
      <c r="E44" s="16" t="s">
        <v>20</v>
      </c>
      <c r="F44" s="29">
        <f>14*22</f>
        <v>308</v>
      </c>
      <c r="G44" s="18" t="s">
        <v>89</v>
      </c>
      <c r="H44" s="17" t="e">
        <f t="shared" si="7"/>
        <v>#REF!</v>
      </c>
      <c r="I44" s="41"/>
      <c r="J44" s="19"/>
      <c r="K44" s="5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1" ht="15.75" customHeight="1" x14ac:dyDescent="0.25">
      <c r="A45" s="15" t="s">
        <v>86</v>
      </c>
      <c r="B45" s="16" t="s">
        <v>87</v>
      </c>
      <c r="C45" s="16" t="s">
        <v>85</v>
      </c>
      <c r="D45" s="16" t="s">
        <v>20</v>
      </c>
      <c r="E45" s="16" t="s">
        <v>20</v>
      </c>
      <c r="F45" s="29">
        <f>80*2</f>
        <v>160</v>
      </c>
      <c r="G45" s="18" t="s">
        <v>89</v>
      </c>
      <c r="H45" s="17" t="e">
        <f t="shared" si="7"/>
        <v>#REF!</v>
      </c>
      <c r="I45" s="41"/>
      <c r="J45" s="19"/>
      <c r="K45" s="5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spans="1:31" ht="15.75" customHeight="1" x14ac:dyDescent="0.25">
      <c r="A46" s="65" t="s">
        <v>90</v>
      </c>
      <c r="B46" s="66"/>
      <c r="C46" s="66"/>
      <c r="D46" s="66"/>
      <c r="E46" s="66"/>
      <c r="F46" s="66"/>
      <c r="G46" s="66"/>
      <c r="H46" s="66"/>
      <c r="I46" s="66"/>
      <c r="J46" s="67"/>
      <c r="K46" s="5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spans="1:31" ht="15.75" customHeight="1" x14ac:dyDescent="0.25">
      <c r="A47" s="15" t="s">
        <v>91</v>
      </c>
      <c r="B47" s="16" t="s">
        <v>92</v>
      </c>
      <c r="C47" s="16" t="s">
        <v>85</v>
      </c>
      <c r="D47" s="16" t="s">
        <v>20</v>
      </c>
      <c r="E47" s="16" t="s">
        <v>20</v>
      </c>
      <c r="F47" s="17">
        <v>130</v>
      </c>
      <c r="G47" s="18" t="s">
        <v>89</v>
      </c>
      <c r="H47" s="17" t="e">
        <f>H45-F47</f>
        <v>#REF!</v>
      </c>
      <c r="I47" s="41"/>
      <c r="J47" s="19"/>
      <c r="K47" s="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ht="15.75" customHeight="1" x14ac:dyDescent="0.25">
      <c r="A48" s="15" t="s">
        <v>93</v>
      </c>
      <c r="B48" s="16" t="s">
        <v>59</v>
      </c>
      <c r="C48" s="16" t="s">
        <v>85</v>
      </c>
      <c r="D48" s="16" t="s">
        <v>20</v>
      </c>
      <c r="E48" s="16" t="s">
        <v>20</v>
      </c>
      <c r="F48" s="17">
        <f>8*60</f>
        <v>480</v>
      </c>
      <c r="G48" s="18" t="s">
        <v>89</v>
      </c>
      <c r="H48" s="17" t="e">
        <f t="shared" ref="H48:H50" si="8">H47-F48</f>
        <v>#REF!</v>
      </c>
      <c r="I48" s="41"/>
      <c r="J48" s="19"/>
      <c r="K48" s="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spans="1:31" ht="15.75" customHeight="1" x14ac:dyDescent="0.25">
      <c r="A49" s="15" t="s">
        <v>94</v>
      </c>
      <c r="B49" s="16" t="s">
        <v>95</v>
      </c>
      <c r="C49" s="16" t="s">
        <v>85</v>
      </c>
      <c r="D49" s="16" t="s">
        <v>20</v>
      </c>
      <c r="E49" s="16" t="s">
        <v>20</v>
      </c>
      <c r="F49" s="17">
        <v>200</v>
      </c>
      <c r="G49" s="18" t="s">
        <v>89</v>
      </c>
      <c r="H49" s="17" t="e">
        <f t="shared" si="8"/>
        <v>#REF!</v>
      </c>
      <c r="I49" s="41"/>
      <c r="J49" s="19"/>
      <c r="K49" s="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 ht="15.75" customHeight="1" x14ac:dyDescent="0.25">
      <c r="A50" s="15" t="s">
        <v>96</v>
      </c>
      <c r="B50" s="16" t="s">
        <v>20</v>
      </c>
      <c r="C50" s="16" t="s">
        <v>85</v>
      </c>
      <c r="D50" s="16" t="s">
        <v>20</v>
      </c>
      <c r="E50" s="16" t="s">
        <v>20</v>
      </c>
      <c r="F50" s="17">
        <v>0</v>
      </c>
      <c r="G50" s="18" t="s">
        <v>89</v>
      </c>
      <c r="H50" s="17" t="e">
        <f t="shared" si="8"/>
        <v>#REF!</v>
      </c>
      <c r="I50" s="41"/>
      <c r="J50" s="19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1:31" ht="15.75" customHeight="1" x14ac:dyDescent="0.25">
      <c r="A51" s="68" t="s">
        <v>97</v>
      </c>
      <c r="B51" s="69"/>
      <c r="C51" s="69"/>
      <c r="D51" s="69"/>
      <c r="E51" s="70"/>
      <c r="F51" s="45" t="e">
        <f>H49</f>
        <v>#REF!</v>
      </c>
      <c r="G51" s="14"/>
      <c r="H51" s="14"/>
      <c r="I51" s="56">
        <f>I11+I12+I13+I14+I16+I17+I21+I22+I23+I24+I25+I26+I27+I29+I30+I31+I33+I34+I35+I36+I37</f>
        <v>12003.850000000002</v>
      </c>
      <c r="J51" s="14"/>
      <c r="K51" s="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spans="1:31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spans="1:31" ht="15.75" customHeight="1" x14ac:dyDescent="0.25">
      <c r="A53" s="71" t="s">
        <v>98</v>
      </c>
      <c r="B53" s="72"/>
      <c r="C53" s="30" t="e">
        <f>F51</f>
        <v>#REF!</v>
      </c>
      <c r="D53" s="31" t="s">
        <v>99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1" ht="15.75" customHeight="1" x14ac:dyDescent="0.25">
      <c r="A54" s="80" t="s">
        <v>100</v>
      </c>
      <c r="B54" s="66"/>
      <c r="C54" s="66"/>
      <c r="D54" s="67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1" ht="15.75" customHeight="1" x14ac:dyDescent="0.25">
      <c r="A55" s="20" t="s">
        <v>101</v>
      </c>
      <c r="B55" s="32">
        <v>0</v>
      </c>
      <c r="C55" s="32" t="e">
        <f>C53-B55</f>
        <v>#REF!</v>
      </c>
      <c r="D55" s="33" t="b">
        <v>0</v>
      </c>
      <c r="E55" s="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1" ht="15.75" customHeight="1" x14ac:dyDescent="0.25">
      <c r="A56" s="20" t="s">
        <v>102</v>
      </c>
      <c r="B56" s="32">
        <v>0</v>
      </c>
      <c r="C56" s="32" t="e">
        <f>C55-B56</f>
        <v>#REF!</v>
      </c>
      <c r="D56" s="33" t="b">
        <v>0</v>
      </c>
      <c r="E56" s="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spans="1:31" ht="15.75" customHeight="1" x14ac:dyDescent="0.25">
      <c r="A57" s="80" t="s">
        <v>103</v>
      </c>
      <c r="B57" s="66"/>
      <c r="C57" s="66"/>
      <c r="D57" s="67"/>
      <c r="E57" s="5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1" ht="15.75" customHeight="1" x14ac:dyDescent="0.25">
      <c r="A58" s="20" t="s">
        <v>104</v>
      </c>
      <c r="B58" s="32">
        <v>0</v>
      </c>
      <c r="C58" s="32">
        <f>C57-B58</f>
        <v>0</v>
      </c>
      <c r="D58" s="33" t="b">
        <v>0</v>
      </c>
      <c r="E58" s="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spans="1:31" ht="15.75" customHeight="1" x14ac:dyDescent="0.25">
      <c r="A59" s="20" t="s">
        <v>105</v>
      </c>
      <c r="B59" s="32">
        <v>0</v>
      </c>
      <c r="C59" s="32">
        <f>C57-B59</f>
        <v>0</v>
      </c>
      <c r="D59" s="33" t="b">
        <v>0</v>
      </c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spans="1:31" ht="15.75" customHeight="1" x14ac:dyDescent="0.25">
      <c r="A60" s="80" t="s">
        <v>106</v>
      </c>
      <c r="B60" s="66"/>
      <c r="C60" s="66"/>
      <c r="D60" s="67"/>
      <c r="E60" s="5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 spans="1:31" ht="15.75" customHeight="1" x14ac:dyDescent="0.25">
      <c r="A61" s="20" t="s">
        <v>107</v>
      </c>
      <c r="B61" s="32">
        <v>0</v>
      </c>
      <c r="C61" s="32">
        <f>C59-B61</f>
        <v>0</v>
      </c>
      <c r="D61" s="33" t="b">
        <v>0</v>
      </c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spans="1:31" ht="15.75" customHeight="1" x14ac:dyDescent="0.25">
      <c r="A62" s="20" t="s">
        <v>108</v>
      </c>
      <c r="B62" s="32">
        <v>0</v>
      </c>
      <c r="C62" s="32">
        <f>C61-B62</f>
        <v>0</v>
      </c>
      <c r="D62" s="33" t="b">
        <v>0</v>
      </c>
      <c r="E62" s="5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 spans="1:31" ht="15.75" customHeight="1" x14ac:dyDescent="0.25">
      <c r="A63" s="80" t="s">
        <v>109</v>
      </c>
      <c r="B63" s="66"/>
      <c r="C63" s="66"/>
      <c r="D63" s="67"/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spans="1:31" ht="15.75" customHeight="1" x14ac:dyDescent="0.25">
      <c r="A64" s="20" t="s">
        <v>110</v>
      </c>
      <c r="B64" s="32">
        <v>0</v>
      </c>
      <c r="C64" s="32">
        <f>C63-B64</f>
        <v>0</v>
      </c>
      <c r="D64" s="33" t="b">
        <v>0</v>
      </c>
      <c r="E64" s="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 spans="1:31" ht="15.75" customHeight="1" x14ac:dyDescent="0.25">
      <c r="A65" s="20" t="s">
        <v>111</v>
      </c>
      <c r="B65" s="32">
        <v>0</v>
      </c>
      <c r="C65" s="32">
        <f>C63-B65</f>
        <v>0</v>
      </c>
      <c r="D65" s="33" t="b">
        <v>0</v>
      </c>
      <c r="E65" s="5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1:31" ht="15.75" customHeight="1" x14ac:dyDescent="0.25">
      <c r="A66" s="20" t="s">
        <v>112</v>
      </c>
      <c r="B66" s="32">
        <v>0</v>
      </c>
      <c r="C66" s="32">
        <f>C65-B66</f>
        <v>0</v>
      </c>
      <c r="D66" s="33" t="b">
        <v>0</v>
      </c>
      <c r="E66" s="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spans="1:31" ht="15.75" customHeight="1" x14ac:dyDescent="0.25">
      <c r="A67" s="20" t="s">
        <v>113</v>
      </c>
      <c r="B67" s="32">
        <v>0</v>
      </c>
      <c r="C67" s="32">
        <f>C65-B67</f>
        <v>0</v>
      </c>
      <c r="D67" s="33" t="b">
        <v>0</v>
      </c>
      <c r="E67" s="5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spans="1:31" ht="15.75" customHeight="1" x14ac:dyDescent="0.25">
      <c r="A68" s="20" t="s">
        <v>114</v>
      </c>
      <c r="B68" s="32">
        <v>0</v>
      </c>
      <c r="C68" s="32">
        <f>C67-B68</f>
        <v>0</v>
      </c>
      <c r="D68" s="33" t="b">
        <v>0</v>
      </c>
      <c r="E68" s="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spans="1:31" ht="15.75" customHeight="1" x14ac:dyDescent="0.25">
      <c r="A69" s="20" t="s">
        <v>115</v>
      </c>
      <c r="B69" s="32">
        <v>0</v>
      </c>
      <c r="C69" s="32">
        <f>C67-B69</f>
        <v>0</v>
      </c>
      <c r="D69" s="33" t="b">
        <v>0</v>
      </c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spans="1:31" ht="15.75" customHeight="1" x14ac:dyDescent="0.25">
      <c r="A70" s="20" t="s">
        <v>116</v>
      </c>
      <c r="B70" s="32">
        <v>0</v>
      </c>
      <c r="C70" s="32">
        <f>C69-B70</f>
        <v>0</v>
      </c>
      <c r="D70" s="33" t="b">
        <v>0</v>
      </c>
      <c r="E70" s="5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spans="1:31" ht="15.75" customHeight="1" x14ac:dyDescent="0.25">
      <c r="A71" s="34" t="s">
        <v>117</v>
      </c>
      <c r="B71" s="35">
        <v>0</v>
      </c>
      <c r="C71" s="35">
        <f>C69-B71</f>
        <v>0</v>
      </c>
      <c r="D71" s="36" t="b">
        <v>0</v>
      </c>
      <c r="E71" s="5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spans="1:31" ht="15.75" customHeight="1" x14ac:dyDescent="0.25">
      <c r="A72" s="37"/>
      <c r="B72" s="27"/>
      <c r="C72" s="27"/>
      <c r="D72" s="2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 spans="1:31" ht="15.75" customHeight="1" x14ac:dyDescent="0.25">
      <c r="A73" s="3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spans="1:31" ht="15.75" customHeight="1" x14ac:dyDescent="0.25">
      <c r="A74" s="3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 spans="1:31" ht="15.75" customHeight="1" x14ac:dyDescent="0.25">
      <c r="A75" s="38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spans="1:31" ht="15.75" customHeight="1" x14ac:dyDescent="0.25">
      <c r="A76" s="38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 spans="1:31" ht="15.75" customHeight="1" x14ac:dyDescent="0.25">
      <c r="A77" s="38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spans="1:31" ht="15.75" customHeight="1" x14ac:dyDescent="0.25">
      <c r="A78" s="38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 spans="1:31" ht="15.75" customHeight="1" x14ac:dyDescent="0.25">
      <c r="A79" s="3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spans="1:31" ht="15.75" customHeight="1" x14ac:dyDescent="0.25">
      <c r="A80" s="38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1:31" ht="15.75" customHeight="1" x14ac:dyDescent="0.25">
      <c r="A81" s="38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spans="1:31" ht="15.75" customHeight="1" x14ac:dyDescent="0.25">
      <c r="A82" s="38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spans="1:31" ht="15.75" customHeight="1" x14ac:dyDescent="0.25">
      <c r="A83" s="38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spans="1:31" ht="15.75" customHeight="1" x14ac:dyDescent="0.25">
      <c r="A84" s="38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 spans="1:31" ht="15.75" customHeight="1" x14ac:dyDescent="0.25">
      <c r="A85" s="38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spans="1:31" ht="15.75" customHeight="1" x14ac:dyDescent="0.25">
      <c r="A86" s="38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 spans="1:31" ht="15.75" customHeight="1" x14ac:dyDescent="0.25">
      <c r="A87" s="38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spans="1:31" ht="15.75" customHeight="1" x14ac:dyDescent="0.25">
      <c r="A88" s="38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 spans="1:31" ht="15.75" customHeight="1" x14ac:dyDescent="0.25">
      <c r="A89" s="38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 spans="1:31" ht="15.75" customHeight="1" x14ac:dyDescent="0.25">
      <c r="A90" s="38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 spans="1:31" ht="15.75" customHeight="1" x14ac:dyDescent="0.25">
      <c r="A91" s="38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 spans="1:31" ht="15.75" customHeight="1" x14ac:dyDescent="0.25">
      <c r="A92" s="38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 spans="1:31" ht="15.75" customHeight="1" x14ac:dyDescent="0.25">
      <c r="A93" s="38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 spans="1:31" ht="15.75" customHeight="1" x14ac:dyDescent="0.25"/>
    <row r="95" spans="1:31" ht="15.75" customHeight="1" x14ac:dyDescent="0.25"/>
    <row r="96" spans="1:3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</sheetData>
  <mergeCells count="42">
    <mergeCell ref="J33:J37"/>
    <mergeCell ref="A38:J38"/>
    <mergeCell ref="A46:J46"/>
    <mergeCell ref="A63:D63"/>
    <mergeCell ref="B33:B37"/>
    <mergeCell ref="C33:C37"/>
    <mergeCell ref="E33:E37"/>
    <mergeCell ref="G33:G37"/>
    <mergeCell ref="A51:E51"/>
    <mergeCell ref="A53:B53"/>
    <mergeCell ref="A54:D54"/>
    <mergeCell ref="A57:D57"/>
    <mergeCell ref="A60:D60"/>
    <mergeCell ref="A32:J32"/>
    <mergeCell ref="B11:B14"/>
    <mergeCell ref="B16:B17"/>
    <mergeCell ref="C16:C17"/>
    <mergeCell ref="E16:E17"/>
    <mergeCell ref="B21:B27"/>
    <mergeCell ref="C21:C27"/>
    <mergeCell ref="E21:E27"/>
    <mergeCell ref="A28:J28"/>
    <mergeCell ref="B29:B31"/>
    <mergeCell ref="C29:C31"/>
    <mergeCell ref="E29:E31"/>
    <mergeCell ref="G29:G31"/>
    <mergeCell ref="J29:J31"/>
    <mergeCell ref="A1:E1"/>
    <mergeCell ref="L1:Q1"/>
    <mergeCell ref="A3:J3"/>
    <mergeCell ref="A10:J10"/>
    <mergeCell ref="C11:C14"/>
    <mergeCell ref="E11:E14"/>
    <mergeCell ref="G11:G14"/>
    <mergeCell ref="J11:J14"/>
    <mergeCell ref="G16:G17"/>
    <mergeCell ref="J16:J17"/>
    <mergeCell ref="J21:J27"/>
    <mergeCell ref="A18:J18"/>
    <mergeCell ref="A20:J20"/>
    <mergeCell ref="A15:J15"/>
    <mergeCell ref="G21:G27"/>
  </mergeCells>
  <conditionalFormatting sqref="Q4:Q9">
    <cfRule type="colorScale" priority="1">
      <colorScale>
        <cfvo type="min"/>
        <cfvo type="max"/>
        <color rgb="FFFFFFFF"/>
        <color rgb="FF57BB8A"/>
      </colorScale>
    </cfRule>
  </conditionalFormatting>
  <dataValidations count="2">
    <dataValidation type="list" allowBlank="1" showErrorMessage="1" sqref="G4:G9 G11 G16 G19 G29 G33 G39:G45 G47:G50" xr:uid="{00000000-0002-0000-0400-000000000000}">
      <formula1>"Pago,Pendente"</formula1>
    </dataValidation>
    <dataValidation type="list" allowBlank="1" showErrorMessage="1" sqref="Q4:Q8" xr:uid="{00000000-0002-0000-0400-000001000000}">
      <formula1>"Recebido,Pendente"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E946"/>
  <sheetViews>
    <sheetView workbookViewId="0"/>
  </sheetViews>
  <sheetFormatPr defaultColWidth="12.6640625" defaultRowHeight="15" customHeight="1" x14ac:dyDescent="0.25"/>
  <cols>
    <col min="1" max="1" width="51.6640625" customWidth="1"/>
    <col min="2" max="2" width="18" customWidth="1"/>
    <col min="3" max="3" width="16" customWidth="1"/>
    <col min="4" max="4" width="14" customWidth="1"/>
    <col min="5" max="5" width="12" customWidth="1"/>
    <col min="6" max="6" width="14" customWidth="1"/>
    <col min="7" max="7" width="12.77734375" customWidth="1"/>
    <col min="8" max="10" width="16" customWidth="1"/>
    <col min="11" max="11" width="9.109375" customWidth="1"/>
    <col min="12" max="12" width="28" customWidth="1"/>
    <col min="13" max="15" width="14" customWidth="1"/>
    <col min="16" max="16" width="18" customWidth="1"/>
    <col min="17" max="17" width="17.6640625" customWidth="1"/>
  </cols>
  <sheetData>
    <row r="1" spans="1:31" ht="15.75" customHeight="1" x14ac:dyDescent="0.25">
      <c r="A1" s="74" t="s">
        <v>162</v>
      </c>
      <c r="B1" s="75"/>
      <c r="C1" s="75"/>
      <c r="D1" s="75"/>
      <c r="E1" s="76"/>
      <c r="F1" s="1" t="s">
        <v>0</v>
      </c>
      <c r="G1" s="2"/>
      <c r="H1" s="28">
        <f>M9</f>
        <v>6240</v>
      </c>
      <c r="I1" s="39"/>
      <c r="J1" s="3"/>
      <c r="K1" s="4"/>
      <c r="L1" s="77" t="s">
        <v>1</v>
      </c>
      <c r="M1" s="75"/>
      <c r="N1" s="75"/>
      <c r="O1" s="75"/>
      <c r="P1" s="75"/>
      <c r="Q1" s="78"/>
      <c r="R1" s="5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ht="15.75" customHeight="1" x14ac:dyDescent="0.25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40" t="s">
        <v>119</v>
      </c>
      <c r="J2" s="9" t="s">
        <v>10</v>
      </c>
      <c r="K2" s="4"/>
      <c r="L2" s="7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9" t="s">
        <v>16</v>
      </c>
      <c r="R2" s="10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5.75" customHeight="1" x14ac:dyDescent="0.3">
      <c r="A3" s="65" t="s">
        <v>137</v>
      </c>
      <c r="B3" s="66"/>
      <c r="C3" s="66"/>
      <c r="D3" s="66"/>
      <c r="E3" s="66"/>
      <c r="F3" s="66"/>
      <c r="G3" s="66"/>
      <c r="H3" s="66"/>
      <c r="I3" s="66"/>
      <c r="J3" s="67"/>
      <c r="K3" s="4"/>
      <c r="L3" s="12"/>
      <c r="M3" s="13"/>
      <c r="N3" s="13"/>
      <c r="O3" s="13"/>
      <c r="P3" s="13"/>
      <c r="Q3" s="14"/>
      <c r="R3" s="5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5.75" customHeight="1" x14ac:dyDescent="0.25">
      <c r="A4" s="15" t="s">
        <v>17</v>
      </c>
      <c r="B4" s="16" t="s">
        <v>18</v>
      </c>
      <c r="C4" s="16" t="s">
        <v>19</v>
      </c>
      <c r="D4" s="16" t="s">
        <v>20</v>
      </c>
      <c r="E4" s="16" t="s">
        <v>20</v>
      </c>
      <c r="F4" s="17">
        <v>65</v>
      </c>
      <c r="G4" s="18" t="s">
        <v>89</v>
      </c>
      <c r="H4" s="17">
        <f>H1-F4</f>
        <v>6175</v>
      </c>
      <c r="I4" s="41"/>
      <c r="J4" s="19"/>
      <c r="K4" s="4"/>
      <c r="L4" s="20" t="s">
        <v>21</v>
      </c>
      <c r="M4" s="21">
        <v>2540</v>
      </c>
      <c r="N4" s="21">
        <v>580</v>
      </c>
      <c r="O4" s="21">
        <v>264</v>
      </c>
      <c r="P4" s="22">
        <v>5</v>
      </c>
      <c r="Q4" s="14" t="s">
        <v>89</v>
      </c>
      <c r="R4" s="5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ht="15.75" customHeight="1" x14ac:dyDescent="0.25">
      <c r="A5" s="15" t="s">
        <v>22</v>
      </c>
      <c r="B5" s="16" t="s">
        <v>23</v>
      </c>
      <c r="C5" s="16" t="s">
        <v>24</v>
      </c>
      <c r="D5" s="16" t="s">
        <v>20</v>
      </c>
      <c r="E5" s="16">
        <v>7</v>
      </c>
      <c r="F5" s="17">
        <v>1371.16</v>
      </c>
      <c r="G5" s="18" t="s">
        <v>89</v>
      </c>
      <c r="H5" s="17">
        <f t="shared" ref="H5:H9" si="0">H4-F5</f>
        <v>4803.84</v>
      </c>
      <c r="I5" s="41"/>
      <c r="J5" s="19"/>
      <c r="K5" s="4"/>
      <c r="L5" s="20" t="s">
        <v>25</v>
      </c>
      <c r="M5" s="21">
        <v>2000</v>
      </c>
      <c r="N5" s="23" t="s">
        <v>20</v>
      </c>
      <c r="O5" s="23" t="s">
        <v>20</v>
      </c>
      <c r="P5" s="22">
        <v>10</v>
      </c>
      <c r="Q5" s="14" t="s">
        <v>89</v>
      </c>
      <c r="R5" s="5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ht="15.75" customHeight="1" x14ac:dyDescent="0.25">
      <c r="A6" s="15" t="s">
        <v>26</v>
      </c>
      <c r="B6" s="16" t="s">
        <v>27</v>
      </c>
      <c r="C6" s="16" t="s">
        <v>24</v>
      </c>
      <c r="D6" s="16" t="s">
        <v>20</v>
      </c>
      <c r="E6" s="16">
        <v>7</v>
      </c>
      <c r="F6" s="17">
        <v>473.45</v>
      </c>
      <c r="G6" s="18" t="s">
        <v>89</v>
      </c>
      <c r="H6" s="17">
        <f t="shared" si="0"/>
        <v>4330.3900000000003</v>
      </c>
      <c r="I6" s="41"/>
      <c r="J6" s="19"/>
      <c r="K6" s="4"/>
      <c r="L6" s="20" t="s">
        <v>28</v>
      </c>
      <c r="M6" s="21">
        <v>400</v>
      </c>
      <c r="N6" s="23" t="s">
        <v>20</v>
      </c>
      <c r="O6" s="23" t="s">
        <v>20</v>
      </c>
      <c r="P6" s="22">
        <v>10</v>
      </c>
      <c r="Q6" s="14" t="s">
        <v>89</v>
      </c>
      <c r="R6" s="5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ht="15.75" customHeight="1" x14ac:dyDescent="0.25">
      <c r="A7" s="15" t="s">
        <v>29</v>
      </c>
      <c r="B7" s="16" t="s">
        <v>30</v>
      </c>
      <c r="C7" s="16" t="s">
        <v>31</v>
      </c>
      <c r="D7" s="16" t="s">
        <v>20</v>
      </c>
      <c r="E7" s="16">
        <v>20</v>
      </c>
      <c r="F7" s="17">
        <v>127.99</v>
      </c>
      <c r="G7" s="18" t="s">
        <v>89</v>
      </c>
      <c r="H7" s="17">
        <f t="shared" si="0"/>
        <v>4202.4000000000005</v>
      </c>
      <c r="I7" s="41"/>
      <c r="J7" s="19"/>
      <c r="K7" s="4" t="s">
        <v>149</v>
      </c>
      <c r="L7" s="20" t="s">
        <v>34</v>
      </c>
      <c r="M7" s="21">
        <v>500</v>
      </c>
      <c r="N7" s="23" t="s">
        <v>20</v>
      </c>
      <c r="O7" s="23" t="s">
        <v>20</v>
      </c>
      <c r="P7" s="22">
        <v>10</v>
      </c>
      <c r="Q7" s="14" t="s">
        <v>89</v>
      </c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 ht="15.75" customHeight="1" x14ac:dyDescent="0.25">
      <c r="A8" s="15" t="s">
        <v>32</v>
      </c>
      <c r="B8" s="16" t="s">
        <v>33</v>
      </c>
      <c r="C8" s="16" t="s">
        <v>31</v>
      </c>
      <c r="D8" s="16" t="s">
        <v>20</v>
      </c>
      <c r="E8" s="16">
        <v>10</v>
      </c>
      <c r="F8" s="17">
        <v>40.909999999999997</v>
      </c>
      <c r="G8" s="18" t="s">
        <v>89</v>
      </c>
      <c r="H8" s="17">
        <f t="shared" si="0"/>
        <v>4161.4900000000007</v>
      </c>
      <c r="I8" s="41"/>
      <c r="J8" s="19"/>
      <c r="K8" s="4"/>
      <c r="L8" s="20" t="s">
        <v>37</v>
      </c>
      <c r="M8" s="21">
        <v>800</v>
      </c>
      <c r="N8" s="23" t="s">
        <v>20</v>
      </c>
      <c r="O8" s="23" t="s">
        <v>20</v>
      </c>
      <c r="P8" s="22">
        <v>15</v>
      </c>
      <c r="Q8" s="14" t="s">
        <v>89</v>
      </c>
      <c r="R8" s="5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1" ht="15.75" customHeight="1" x14ac:dyDescent="0.25">
      <c r="A9" s="15" t="s">
        <v>35</v>
      </c>
      <c r="B9" s="16" t="s">
        <v>36</v>
      </c>
      <c r="C9" s="16" t="s">
        <v>31</v>
      </c>
      <c r="D9" s="16" t="s">
        <v>20</v>
      </c>
      <c r="E9" s="16">
        <v>17</v>
      </c>
      <c r="F9" s="17">
        <v>99.99</v>
      </c>
      <c r="G9" s="18" t="s">
        <v>89</v>
      </c>
      <c r="H9" s="17">
        <f t="shared" si="0"/>
        <v>4061.5000000000009</v>
      </c>
      <c r="I9" s="41"/>
      <c r="J9" s="19"/>
      <c r="K9" s="4"/>
      <c r="L9" s="24"/>
      <c r="M9" s="25">
        <f>SUM(M4:M8)</f>
        <v>6240</v>
      </c>
      <c r="N9" s="25"/>
      <c r="O9" s="25"/>
      <c r="P9" s="26"/>
      <c r="Q9" s="14"/>
      <c r="R9" s="5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ht="15.75" customHeight="1" x14ac:dyDescent="0.25">
      <c r="A10" s="65" t="s">
        <v>38</v>
      </c>
      <c r="B10" s="66"/>
      <c r="C10" s="66"/>
      <c r="D10" s="66"/>
      <c r="E10" s="66"/>
      <c r="F10" s="66"/>
      <c r="G10" s="66"/>
      <c r="H10" s="66"/>
      <c r="I10" s="66"/>
      <c r="J10" s="67"/>
      <c r="K10" s="4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15.75" customHeight="1" x14ac:dyDescent="0.25">
      <c r="A11" s="15" t="s">
        <v>40</v>
      </c>
      <c r="B11" s="64"/>
      <c r="C11" s="64"/>
      <c r="D11" s="16" t="s">
        <v>48</v>
      </c>
      <c r="E11" s="64"/>
      <c r="F11" s="17">
        <v>286.81</v>
      </c>
      <c r="G11" s="58" t="s">
        <v>89</v>
      </c>
      <c r="H11" s="17">
        <f>H9-F11</f>
        <v>3774.690000000001</v>
      </c>
      <c r="I11" s="42">
        <f>F11*10</f>
        <v>2868.1</v>
      </c>
      <c r="J11" s="73">
        <f>SUM(F11:F14)</f>
        <v>761.57999999999993</v>
      </c>
      <c r="K11" s="5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15.75" customHeight="1" x14ac:dyDescent="0.25">
      <c r="A12" s="47" t="s">
        <v>42</v>
      </c>
      <c r="B12" s="59"/>
      <c r="C12" s="59"/>
      <c r="D12" s="48" t="s">
        <v>163</v>
      </c>
      <c r="E12" s="59"/>
      <c r="F12" s="49">
        <v>375</v>
      </c>
      <c r="G12" s="59"/>
      <c r="H12" s="49">
        <f t="shared" ref="H12:H14" si="1">H11-F12</f>
        <v>3399.690000000001</v>
      </c>
      <c r="I12" s="50">
        <f>F12*2</f>
        <v>750</v>
      </c>
      <c r="J12" s="62"/>
      <c r="K12" s="5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ht="15.75" customHeight="1" x14ac:dyDescent="0.25">
      <c r="A13" s="15" t="s">
        <v>45</v>
      </c>
      <c r="B13" s="59"/>
      <c r="C13" s="59"/>
      <c r="D13" s="16" t="s">
        <v>163</v>
      </c>
      <c r="E13" s="59"/>
      <c r="F13" s="17">
        <v>59.02</v>
      </c>
      <c r="G13" s="59"/>
      <c r="H13" s="17">
        <f t="shared" si="1"/>
        <v>3340.670000000001</v>
      </c>
      <c r="I13" s="42">
        <f>F13*4</f>
        <v>236.08</v>
      </c>
      <c r="J13" s="62"/>
      <c r="K13" s="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ht="15.75" customHeight="1" x14ac:dyDescent="0.25">
      <c r="A14" s="15" t="s">
        <v>47</v>
      </c>
      <c r="B14" s="60"/>
      <c r="C14" s="60"/>
      <c r="D14" s="16" t="s">
        <v>138</v>
      </c>
      <c r="E14" s="60"/>
      <c r="F14" s="17">
        <v>40.75</v>
      </c>
      <c r="G14" s="60"/>
      <c r="H14" s="17">
        <f t="shared" si="1"/>
        <v>3299.920000000001</v>
      </c>
      <c r="I14" s="42">
        <f>F14*5</f>
        <v>203.75</v>
      </c>
      <c r="J14" s="63"/>
      <c r="K14" s="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ht="15.75" customHeight="1" x14ac:dyDescent="0.25">
      <c r="A15" s="65" t="s">
        <v>50</v>
      </c>
      <c r="B15" s="66"/>
      <c r="C15" s="66"/>
      <c r="D15" s="66"/>
      <c r="E15" s="66"/>
      <c r="F15" s="66"/>
      <c r="G15" s="66"/>
      <c r="H15" s="66"/>
      <c r="I15" s="66"/>
      <c r="J15" s="67"/>
      <c r="K15" s="5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ht="15.75" customHeight="1" x14ac:dyDescent="0.25">
      <c r="A16" s="15" t="s">
        <v>51</v>
      </c>
      <c r="B16" s="64" t="s">
        <v>52</v>
      </c>
      <c r="C16" s="64" t="s">
        <v>39</v>
      </c>
      <c r="D16" s="16" t="s">
        <v>123</v>
      </c>
      <c r="E16" s="64" t="s">
        <v>54</v>
      </c>
      <c r="F16" s="17">
        <v>33.67</v>
      </c>
      <c r="G16" s="58" t="s">
        <v>89</v>
      </c>
      <c r="H16" s="17">
        <f>H14-F16</f>
        <v>3266.2500000000009</v>
      </c>
      <c r="I16" s="42">
        <f t="shared" ref="I16:I17" si="2">F16*9</f>
        <v>303.03000000000003</v>
      </c>
      <c r="J16" s="73">
        <f>SUM(F16:F17)</f>
        <v>59.67</v>
      </c>
      <c r="K16" s="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ht="15.75" customHeight="1" x14ac:dyDescent="0.25">
      <c r="A17" s="15" t="s">
        <v>55</v>
      </c>
      <c r="B17" s="60"/>
      <c r="C17" s="60"/>
      <c r="D17" s="16" t="s">
        <v>123</v>
      </c>
      <c r="E17" s="60"/>
      <c r="F17" s="17">
        <v>26</v>
      </c>
      <c r="G17" s="60"/>
      <c r="H17" s="17">
        <f>H16-F17</f>
        <v>3240.2500000000009</v>
      </c>
      <c r="I17" s="42">
        <f t="shared" si="2"/>
        <v>234</v>
      </c>
      <c r="J17" s="63"/>
      <c r="K17" s="5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ht="15.75" customHeight="1" x14ac:dyDescent="0.25">
      <c r="A18" s="65" t="s">
        <v>56</v>
      </c>
      <c r="B18" s="66"/>
      <c r="C18" s="66"/>
      <c r="D18" s="66"/>
      <c r="E18" s="66"/>
      <c r="F18" s="66"/>
      <c r="G18" s="66"/>
      <c r="H18" s="66"/>
      <c r="I18" s="66"/>
      <c r="J18" s="67"/>
      <c r="K18" s="5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ht="15.75" customHeight="1" x14ac:dyDescent="0.25">
      <c r="A19" s="15" t="s">
        <v>141</v>
      </c>
      <c r="B19" s="16" t="s">
        <v>57</v>
      </c>
      <c r="C19" s="16" t="s">
        <v>39</v>
      </c>
      <c r="D19" s="16" t="s">
        <v>20</v>
      </c>
      <c r="E19" s="16" t="s">
        <v>54</v>
      </c>
      <c r="F19" s="17">
        <v>0</v>
      </c>
      <c r="G19" s="18" t="s">
        <v>89</v>
      </c>
      <c r="H19" s="17">
        <f>H17-F19</f>
        <v>3240.2500000000009</v>
      </c>
      <c r="I19" s="43"/>
      <c r="J19" s="44">
        <f>SUM(F19)</f>
        <v>0</v>
      </c>
      <c r="K19" s="5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ht="15.75" customHeight="1" x14ac:dyDescent="0.25">
      <c r="A20" s="65" t="s">
        <v>58</v>
      </c>
      <c r="B20" s="66"/>
      <c r="C20" s="66"/>
      <c r="D20" s="66"/>
      <c r="E20" s="66"/>
      <c r="F20" s="66"/>
      <c r="G20" s="66"/>
      <c r="H20" s="66"/>
      <c r="I20" s="66"/>
      <c r="J20" s="67"/>
      <c r="K20" s="5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ht="15.75" customHeight="1" x14ac:dyDescent="0.25">
      <c r="A21" s="15" t="s">
        <v>60</v>
      </c>
      <c r="B21" s="64"/>
      <c r="C21" s="64"/>
      <c r="D21" s="16" t="s">
        <v>48</v>
      </c>
      <c r="E21" s="64"/>
      <c r="F21" s="17">
        <v>25.98</v>
      </c>
      <c r="G21" s="58"/>
      <c r="H21" s="17">
        <f>H19-F21</f>
        <v>3214.2700000000009</v>
      </c>
      <c r="I21" s="43">
        <f t="shared" ref="I21:I22" si="3">F21*10</f>
        <v>259.8</v>
      </c>
      <c r="J21" s="81"/>
      <c r="K21" s="5"/>
      <c r="L21" s="57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ht="15.75" customHeight="1" x14ac:dyDescent="0.25">
      <c r="A22" s="15" t="s">
        <v>62</v>
      </c>
      <c r="B22" s="59"/>
      <c r="C22" s="59"/>
      <c r="D22" s="16" t="s">
        <v>48</v>
      </c>
      <c r="E22" s="59"/>
      <c r="F22" s="17">
        <v>133.37</v>
      </c>
      <c r="G22" s="59"/>
      <c r="H22" s="17">
        <f t="shared" ref="H22:H25" si="4">H21-F22</f>
        <v>3080.900000000001</v>
      </c>
      <c r="I22" s="43">
        <f t="shared" si="3"/>
        <v>1333.7</v>
      </c>
      <c r="J22" s="62"/>
      <c r="K22" s="5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1" ht="15.75" customHeight="1" x14ac:dyDescent="0.25">
      <c r="A23" s="15" t="s">
        <v>63</v>
      </c>
      <c r="B23" s="59"/>
      <c r="C23" s="59"/>
      <c r="D23" s="16" t="s">
        <v>138</v>
      </c>
      <c r="E23" s="59"/>
      <c r="F23" s="17">
        <v>133.33000000000001</v>
      </c>
      <c r="G23" s="59"/>
      <c r="H23" s="17">
        <f t="shared" si="4"/>
        <v>2947.5700000000011</v>
      </c>
      <c r="I23" s="43">
        <f t="shared" ref="I23:I24" si="5">F23*5</f>
        <v>666.65000000000009</v>
      </c>
      <c r="J23" s="62"/>
      <c r="K23" s="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ht="15.75" customHeight="1" x14ac:dyDescent="0.25">
      <c r="A24" s="15" t="s">
        <v>65</v>
      </c>
      <c r="B24" s="59"/>
      <c r="C24" s="59"/>
      <c r="D24" s="16" t="s">
        <v>138</v>
      </c>
      <c r="E24" s="59"/>
      <c r="F24" s="17">
        <v>57.99</v>
      </c>
      <c r="G24" s="59"/>
      <c r="H24" s="17">
        <f t="shared" si="4"/>
        <v>2889.5800000000013</v>
      </c>
      <c r="I24" s="43">
        <f t="shared" si="5"/>
        <v>289.95</v>
      </c>
      <c r="J24" s="62"/>
      <c r="K24" s="5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ht="15.75" customHeight="1" x14ac:dyDescent="0.25">
      <c r="A25" s="15" t="s">
        <v>66</v>
      </c>
      <c r="B25" s="60"/>
      <c r="C25" s="60"/>
      <c r="D25" s="16" t="s">
        <v>138</v>
      </c>
      <c r="E25" s="60"/>
      <c r="F25" s="17">
        <v>16.62</v>
      </c>
      <c r="G25" s="60"/>
      <c r="H25" s="17">
        <f t="shared" si="4"/>
        <v>2872.9600000000014</v>
      </c>
      <c r="I25" s="43">
        <f>F25+5</f>
        <v>21.62</v>
      </c>
      <c r="J25" s="63"/>
      <c r="K25" s="5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ht="15.75" customHeight="1" x14ac:dyDescent="0.25">
      <c r="A26" s="65" t="s">
        <v>68</v>
      </c>
      <c r="B26" s="66"/>
      <c r="C26" s="66"/>
      <c r="D26" s="66"/>
      <c r="E26" s="66"/>
      <c r="F26" s="66"/>
      <c r="G26" s="66"/>
      <c r="H26" s="66"/>
      <c r="I26" s="66"/>
      <c r="J26" s="67"/>
      <c r="K26" s="5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ht="15.75" customHeight="1" x14ac:dyDescent="0.25">
      <c r="A27" s="15" t="s">
        <v>69</v>
      </c>
      <c r="B27" s="64" t="s">
        <v>70</v>
      </c>
      <c r="C27" s="64" t="s">
        <v>39</v>
      </c>
      <c r="D27" s="16" t="s">
        <v>164</v>
      </c>
      <c r="E27" s="64" t="s">
        <v>54</v>
      </c>
      <c r="F27" s="17">
        <v>81.66</v>
      </c>
      <c r="G27" s="58" t="s">
        <v>89</v>
      </c>
      <c r="H27" s="17">
        <f>H25-F27</f>
        <v>2791.3000000000015</v>
      </c>
      <c r="I27" s="43">
        <f>F27*8</f>
        <v>653.28</v>
      </c>
      <c r="J27" s="79">
        <f>SUM(F27:F29)</f>
        <v>285.14</v>
      </c>
      <c r="K27" s="5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ht="15.75" customHeight="1" x14ac:dyDescent="0.25">
      <c r="A28" s="15" t="s">
        <v>65</v>
      </c>
      <c r="B28" s="59"/>
      <c r="C28" s="59"/>
      <c r="D28" s="16" t="s">
        <v>138</v>
      </c>
      <c r="E28" s="59"/>
      <c r="F28" s="17">
        <v>57.99</v>
      </c>
      <c r="G28" s="59"/>
      <c r="H28" s="17">
        <f t="shared" ref="H28:H29" si="6">H27-F28</f>
        <v>2733.3100000000018</v>
      </c>
      <c r="I28" s="43">
        <f>F28*5</f>
        <v>289.95</v>
      </c>
      <c r="J28" s="62"/>
      <c r="K28" s="5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ht="15.75" customHeight="1" x14ac:dyDescent="0.25">
      <c r="A29" s="52" t="s">
        <v>71</v>
      </c>
      <c r="B29" s="60"/>
      <c r="C29" s="60"/>
      <c r="D29" s="53" t="s">
        <v>48</v>
      </c>
      <c r="E29" s="60"/>
      <c r="F29" s="54">
        <v>145.49</v>
      </c>
      <c r="G29" s="60"/>
      <c r="H29" s="54">
        <f t="shared" si="6"/>
        <v>2587.8200000000015</v>
      </c>
      <c r="I29" s="55">
        <f>F29*10</f>
        <v>1454.9</v>
      </c>
      <c r="J29" s="63"/>
      <c r="K29" s="5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ht="15.75" customHeight="1" x14ac:dyDescent="0.25">
      <c r="A30" s="65" t="s">
        <v>72</v>
      </c>
      <c r="B30" s="66"/>
      <c r="C30" s="66"/>
      <c r="D30" s="66"/>
      <c r="E30" s="66"/>
      <c r="F30" s="66"/>
      <c r="G30" s="66"/>
      <c r="H30" s="66"/>
      <c r="I30" s="66"/>
      <c r="J30" s="67"/>
      <c r="K30" s="5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spans="1:31" ht="15.75" customHeight="1" x14ac:dyDescent="0.25">
      <c r="A31" s="15" t="s">
        <v>127</v>
      </c>
      <c r="B31" s="64" t="s">
        <v>73</v>
      </c>
      <c r="C31" s="64" t="s">
        <v>39</v>
      </c>
      <c r="D31" s="16" t="s">
        <v>48</v>
      </c>
      <c r="E31" s="64" t="s">
        <v>74</v>
      </c>
      <c r="F31" s="29">
        <v>68.42</v>
      </c>
      <c r="G31" s="58" t="s">
        <v>89</v>
      </c>
      <c r="H31" s="17">
        <f>H29-F31</f>
        <v>2519.4000000000015</v>
      </c>
      <c r="I31" s="43">
        <f t="shared" ref="I31:I34" si="7">F31*10</f>
        <v>684.2</v>
      </c>
      <c r="J31" s="61">
        <f>SUM(F31:F33)</f>
        <v>136.22</v>
      </c>
      <c r="K31" s="5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1" ht="15.75" customHeight="1" x14ac:dyDescent="0.25">
      <c r="A32" s="15" t="s">
        <v>128</v>
      </c>
      <c r="B32" s="59"/>
      <c r="C32" s="59"/>
      <c r="D32" s="16" t="s">
        <v>48</v>
      </c>
      <c r="E32" s="59"/>
      <c r="F32" s="29">
        <v>40.68</v>
      </c>
      <c r="G32" s="59"/>
      <c r="H32" s="17">
        <f t="shared" ref="H32:H34" si="8">H31-F32</f>
        <v>2478.7200000000016</v>
      </c>
      <c r="I32" s="43">
        <f t="shared" si="7"/>
        <v>406.8</v>
      </c>
      <c r="J32" s="62"/>
      <c r="K32" s="5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spans="1:31" ht="15.75" customHeight="1" x14ac:dyDescent="0.25">
      <c r="A33" s="15" t="s">
        <v>129</v>
      </c>
      <c r="B33" s="59"/>
      <c r="C33" s="59"/>
      <c r="D33" s="16" t="s">
        <v>48</v>
      </c>
      <c r="E33" s="59"/>
      <c r="F33" s="29">
        <v>27.12</v>
      </c>
      <c r="G33" s="59"/>
      <c r="H33" s="17">
        <f t="shared" si="8"/>
        <v>2451.6000000000017</v>
      </c>
      <c r="I33" s="43">
        <f t="shared" si="7"/>
        <v>271.2</v>
      </c>
      <c r="J33" s="62"/>
      <c r="K33" s="5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spans="1:31" ht="15.75" customHeight="1" x14ac:dyDescent="0.25">
      <c r="A34" s="15" t="s">
        <v>136</v>
      </c>
      <c r="B34" s="60"/>
      <c r="C34" s="60"/>
      <c r="D34" s="16" t="s">
        <v>157</v>
      </c>
      <c r="E34" s="60"/>
      <c r="F34" s="29">
        <v>57.86</v>
      </c>
      <c r="G34" s="60"/>
      <c r="H34" s="17">
        <f t="shared" si="8"/>
        <v>2393.7400000000016</v>
      </c>
      <c r="I34" s="43">
        <f t="shared" si="7"/>
        <v>578.6</v>
      </c>
      <c r="J34" s="63"/>
      <c r="K34" s="5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spans="1:31" ht="15.75" customHeight="1" x14ac:dyDescent="0.25">
      <c r="A35" s="65" t="s">
        <v>75</v>
      </c>
      <c r="B35" s="66"/>
      <c r="C35" s="66"/>
      <c r="D35" s="66"/>
      <c r="E35" s="66"/>
      <c r="F35" s="66"/>
      <c r="G35" s="66"/>
      <c r="H35" s="66"/>
      <c r="I35" s="66"/>
      <c r="J35" s="67"/>
      <c r="K35" s="5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31" ht="15.75" customHeight="1" x14ac:dyDescent="0.25">
      <c r="A36" s="15" t="s">
        <v>76</v>
      </c>
      <c r="B36" s="16" t="s">
        <v>77</v>
      </c>
      <c r="C36" s="16" t="s">
        <v>31</v>
      </c>
      <c r="D36" s="16" t="s">
        <v>20</v>
      </c>
      <c r="E36" s="16" t="s">
        <v>54</v>
      </c>
      <c r="F36" s="17">
        <v>856.34</v>
      </c>
      <c r="G36" s="18" t="s">
        <v>89</v>
      </c>
      <c r="H36" s="17">
        <f>H34-F36</f>
        <v>1537.4000000000015</v>
      </c>
      <c r="I36" s="41"/>
      <c r="J36" s="19"/>
      <c r="K36" s="5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spans="1:31" ht="15.75" customHeight="1" x14ac:dyDescent="0.25">
      <c r="A37" s="15" t="s">
        <v>78</v>
      </c>
      <c r="B37" s="16" t="s">
        <v>20</v>
      </c>
      <c r="C37" s="18"/>
      <c r="D37" s="16"/>
      <c r="E37" s="16" t="s">
        <v>20</v>
      </c>
      <c r="F37" s="17">
        <v>90</v>
      </c>
      <c r="G37" s="18" t="s">
        <v>89</v>
      </c>
      <c r="H37" s="17">
        <f t="shared" ref="H37:H42" si="9">H36-F37</f>
        <v>1447.4000000000015</v>
      </c>
      <c r="I37" s="41"/>
      <c r="J37" s="19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spans="1:31" ht="15.75" customHeight="1" x14ac:dyDescent="0.25">
      <c r="A38" s="15" t="s">
        <v>88</v>
      </c>
      <c r="B38" s="16" t="s">
        <v>20</v>
      </c>
      <c r="C38" s="16" t="s">
        <v>85</v>
      </c>
      <c r="D38" s="16" t="s">
        <v>20</v>
      </c>
      <c r="E38" s="16" t="s">
        <v>20</v>
      </c>
      <c r="F38" s="29">
        <v>150</v>
      </c>
      <c r="G38" s="18" t="s">
        <v>89</v>
      </c>
      <c r="H38" s="17">
        <f t="shared" si="9"/>
        <v>1297.4000000000015</v>
      </c>
      <c r="I38" s="41"/>
      <c r="J38" s="19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spans="1:31" ht="15.75" customHeight="1" x14ac:dyDescent="0.25">
      <c r="A39" s="15" t="s">
        <v>79</v>
      </c>
      <c r="B39" s="16" t="s">
        <v>80</v>
      </c>
      <c r="C39" s="18" t="s">
        <v>81</v>
      </c>
      <c r="D39" s="16" t="s">
        <v>20</v>
      </c>
      <c r="E39" s="16" t="s">
        <v>82</v>
      </c>
      <c r="F39" s="17">
        <v>40.9</v>
      </c>
      <c r="G39" s="18" t="s">
        <v>89</v>
      </c>
      <c r="H39" s="17">
        <f t="shared" si="9"/>
        <v>1256.5000000000014</v>
      </c>
      <c r="I39" s="41"/>
      <c r="J39" s="19"/>
      <c r="K39" s="5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ht="15.75" customHeight="1" x14ac:dyDescent="0.25">
      <c r="A40" s="15" t="s">
        <v>83</v>
      </c>
      <c r="B40" s="16" t="s">
        <v>84</v>
      </c>
      <c r="C40" s="16" t="s">
        <v>85</v>
      </c>
      <c r="D40" s="16" t="s">
        <v>20</v>
      </c>
      <c r="E40" s="18" t="s">
        <v>54</v>
      </c>
      <c r="F40" s="17">
        <v>100</v>
      </c>
      <c r="G40" s="18" t="s">
        <v>89</v>
      </c>
      <c r="H40" s="17">
        <f t="shared" si="9"/>
        <v>1156.5000000000014</v>
      </c>
      <c r="I40" s="41"/>
      <c r="J40" s="19"/>
      <c r="K40" s="5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1" ht="15.75" customHeight="1" x14ac:dyDescent="0.25">
      <c r="A41" s="15" t="s">
        <v>118</v>
      </c>
      <c r="B41" s="16" t="s">
        <v>59</v>
      </c>
      <c r="C41" s="16" t="s">
        <v>85</v>
      </c>
      <c r="D41" s="16" t="s">
        <v>20</v>
      </c>
      <c r="E41" s="16" t="s">
        <v>20</v>
      </c>
      <c r="F41" s="29">
        <f>14*22</f>
        <v>308</v>
      </c>
      <c r="G41" s="18" t="s">
        <v>89</v>
      </c>
      <c r="H41" s="17">
        <f t="shared" si="9"/>
        <v>848.50000000000136</v>
      </c>
      <c r="I41" s="41"/>
      <c r="J41" s="19"/>
      <c r="K41" s="5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ht="15.75" customHeight="1" x14ac:dyDescent="0.25">
      <c r="A42" s="15" t="s">
        <v>86</v>
      </c>
      <c r="B42" s="16" t="s">
        <v>87</v>
      </c>
      <c r="C42" s="16" t="s">
        <v>85</v>
      </c>
      <c r="D42" s="16" t="s">
        <v>20</v>
      </c>
      <c r="E42" s="16" t="s">
        <v>20</v>
      </c>
      <c r="F42" s="29">
        <f>80*2</f>
        <v>160</v>
      </c>
      <c r="G42" s="18" t="s">
        <v>89</v>
      </c>
      <c r="H42" s="17">
        <f t="shared" si="9"/>
        <v>688.50000000000136</v>
      </c>
      <c r="I42" s="41"/>
      <c r="J42" s="19"/>
      <c r="K42" s="5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ht="15.75" customHeight="1" x14ac:dyDescent="0.25">
      <c r="A43" s="65" t="s">
        <v>90</v>
      </c>
      <c r="B43" s="66"/>
      <c r="C43" s="66"/>
      <c r="D43" s="66"/>
      <c r="E43" s="66"/>
      <c r="F43" s="66"/>
      <c r="G43" s="66"/>
      <c r="H43" s="66"/>
      <c r="I43" s="66"/>
      <c r="J43" s="67"/>
      <c r="K43" s="5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ht="15.75" customHeight="1" x14ac:dyDescent="0.25">
      <c r="A44" s="15" t="s">
        <v>91</v>
      </c>
      <c r="B44" s="16" t="s">
        <v>92</v>
      </c>
      <c r="C44" s="16" t="s">
        <v>85</v>
      </c>
      <c r="D44" s="16" t="s">
        <v>20</v>
      </c>
      <c r="E44" s="16" t="s">
        <v>20</v>
      </c>
      <c r="F44" s="17">
        <v>130</v>
      </c>
      <c r="G44" s="18" t="s">
        <v>89</v>
      </c>
      <c r="H44" s="17">
        <f>H42-F44</f>
        <v>558.50000000000136</v>
      </c>
      <c r="I44" s="41"/>
      <c r="J44" s="19"/>
      <c r="K44" s="5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1" ht="15.75" customHeight="1" x14ac:dyDescent="0.25">
      <c r="A45" s="15" t="s">
        <v>93</v>
      </c>
      <c r="B45" s="16" t="s">
        <v>59</v>
      </c>
      <c r="C45" s="16" t="s">
        <v>85</v>
      </c>
      <c r="D45" s="16" t="s">
        <v>20</v>
      </c>
      <c r="E45" s="16" t="s">
        <v>20</v>
      </c>
      <c r="F45" s="17">
        <f>8*60</f>
        <v>480</v>
      </c>
      <c r="G45" s="18" t="s">
        <v>89</v>
      </c>
      <c r="H45" s="17">
        <f t="shared" ref="H45:H47" si="10">H44-F45</f>
        <v>78.500000000001364</v>
      </c>
      <c r="I45" s="41"/>
      <c r="J45" s="19"/>
      <c r="K45" s="5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spans="1:31" ht="15.75" customHeight="1" x14ac:dyDescent="0.25">
      <c r="A46" s="15" t="s">
        <v>94</v>
      </c>
      <c r="B46" s="16" t="s">
        <v>95</v>
      </c>
      <c r="C46" s="16" t="s">
        <v>85</v>
      </c>
      <c r="D46" s="16" t="s">
        <v>20</v>
      </c>
      <c r="E46" s="16" t="s">
        <v>20</v>
      </c>
      <c r="F46" s="17">
        <v>70</v>
      </c>
      <c r="G46" s="18" t="s">
        <v>89</v>
      </c>
      <c r="H46" s="17">
        <f t="shared" si="10"/>
        <v>8.5000000000013642</v>
      </c>
      <c r="I46" s="41"/>
      <c r="J46" s="19"/>
      <c r="K46" s="5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spans="1:31" ht="15.75" customHeight="1" x14ac:dyDescent="0.25">
      <c r="A47" s="15" t="s">
        <v>96</v>
      </c>
      <c r="B47" s="16" t="s">
        <v>20</v>
      </c>
      <c r="C47" s="16" t="s">
        <v>85</v>
      </c>
      <c r="D47" s="16" t="s">
        <v>20</v>
      </c>
      <c r="E47" s="16" t="s">
        <v>20</v>
      </c>
      <c r="F47" s="17">
        <v>0</v>
      </c>
      <c r="G47" s="18" t="s">
        <v>89</v>
      </c>
      <c r="H47" s="17">
        <f t="shared" si="10"/>
        <v>8.5000000000013642</v>
      </c>
      <c r="I47" s="41"/>
      <c r="J47" s="19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ht="15.75" customHeight="1" x14ac:dyDescent="0.25">
      <c r="A48" s="68" t="s">
        <v>97</v>
      </c>
      <c r="B48" s="69"/>
      <c r="C48" s="69"/>
      <c r="D48" s="69"/>
      <c r="E48" s="70"/>
      <c r="F48" s="45">
        <f>H46</f>
        <v>8.5000000000013642</v>
      </c>
      <c r="G48" s="14"/>
      <c r="H48" s="14"/>
      <c r="I48" s="56">
        <f>I11+I12+I13+I14+I16+I17+I21+I22+I23+I24+I25+I27+I28+I29+I31+I32+I33+I34</f>
        <v>11505.61</v>
      </c>
      <c r="J48" s="14"/>
      <c r="K48" s="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spans="1:31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 ht="15.75" customHeight="1" x14ac:dyDescent="0.25">
      <c r="A50" s="71" t="s">
        <v>98</v>
      </c>
      <c r="B50" s="72"/>
      <c r="C50" s="30">
        <f>F48</f>
        <v>8.5000000000013642</v>
      </c>
      <c r="D50" s="31" t="s">
        <v>99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1:31" ht="15.75" customHeight="1" x14ac:dyDescent="0.25">
      <c r="A51" s="80" t="s">
        <v>100</v>
      </c>
      <c r="B51" s="66"/>
      <c r="C51" s="66"/>
      <c r="D51" s="67"/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spans="1:31" ht="15.75" customHeight="1" x14ac:dyDescent="0.25">
      <c r="A52" s="20" t="s">
        <v>101</v>
      </c>
      <c r="B52" s="32">
        <v>0</v>
      </c>
      <c r="C52" s="32">
        <f>C50-B52</f>
        <v>8.5000000000013642</v>
      </c>
      <c r="D52" s="33" t="b">
        <v>0</v>
      </c>
      <c r="E52" s="5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spans="1:31" ht="15.75" customHeight="1" x14ac:dyDescent="0.25">
      <c r="A53" s="20" t="s">
        <v>102</v>
      </c>
      <c r="B53" s="32">
        <v>0</v>
      </c>
      <c r="C53" s="32">
        <f>C52-B53</f>
        <v>8.5000000000013642</v>
      </c>
      <c r="D53" s="33" t="b">
        <v>0</v>
      </c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1" ht="15.75" customHeight="1" x14ac:dyDescent="0.25">
      <c r="A54" s="80" t="s">
        <v>103</v>
      </c>
      <c r="B54" s="66"/>
      <c r="C54" s="66"/>
      <c r="D54" s="67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1" ht="15.75" customHeight="1" x14ac:dyDescent="0.25">
      <c r="A55" s="20" t="s">
        <v>104</v>
      </c>
      <c r="B55" s="32">
        <v>0</v>
      </c>
      <c r="C55" s="32">
        <f>C54-B55</f>
        <v>0</v>
      </c>
      <c r="D55" s="33" t="b">
        <v>0</v>
      </c>
      <c r="E55" s="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1" ht="15.75" customHeight="1" x14ac:dyDescent="0.25">
      <c r="A56" s="20" t="s">
        <v>105</v>
      </c>
      <c r="B56" s="32">
        <v>0</v>
      </c>
      <c r="C56" s="32">
        <f>C54-B56</f>
        <v>0</v>
      </c>
      <c r="D56" s="33" t="b">
        <v>0</v>
      </c>
      <c r="E56" s="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spans="1:31" ht="15.75" customHeight="1" x14ac:dyDescent="0.25">
      <c r="A57" s="80" t="s">
        <v>106</v>
      </c>
      <c r="B57" s="66"/>
      <c r="C57" s="66"/>
      <c r="D57" s="67"/>
      <c r="E57" s="5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1" ht="15.75" customHeight="1" x14ac:dyDescent="0.25">
      <c r="A58" s="20" t="s">
        <v>107</v>
      </c>
      <c r="B58" s="32">
        <v>0</v>
      </c>
      <c r="C58" s="32">
        <f>C56-B58</f>
        <v>0</v>
      </c>
      <c r="D58" s="33" t="b">
        <v>0</v>
      </c>
      <c r="E58" s="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spans="1:31" ht="15.75" customHeight="1" x14ac:dyDescent="0.25">
      <c r="A59" s="20" t="s">
        <v>108</v>
      </c>
      <c r="B59" s="32">
        <v>0</v>
      </c>
      <c r="C59" s="32">
        <f>C58-B59</f>
        <v>0</v>
      </c>
      <c r="D59" s="33" t="b">
        <v>0</v>
      </c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spans="1:31" ht="15.75" customHeight="1" x14ac:dyDescent="0.25">
      <c r="A60" s="80" t="s">
        <v>109</v>
      </c>
      <c r="B60" s="66"/>
      <c r="C60" s="66"/>
      <c r="D60" s="67"/>
      <c r="E60" s="5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 spans="1:31" ht="15.75" customHeight="1" x14ac:dyDescent="0.25">
      <c r="A61" s="20" t="s">
        <v>110</v>
      </c>
      <c r="B61" s="32">
        <v>0</v>
      </c>
      <c r="C61" s="32">
        <f>C60-B61</f>
        <v>0</v>
      </c>
      <c r="D61" s="33" t="b">
        <v>0</v>
      </c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spans="1:31" ht="15.75" customHeight="1" x14ac:dyDescent="0.25">
      <c r="A62" s="20" t="s">
        <v>111</v>
      </c>
      <c r="B62" s="32">
        <v>0</v>
      </c>
      <c r="C62" s="32">
        <f>C60-B62</f>
        <v>0</v>
      </c>
      <c r="D62" s="33" t="b">
        <v>0</v>
      </c>
      <c r="E62" s="5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 spans="1:31" ht="15.75" customHeight="1" x14ac:dyDescent="0.25">
      <c r="A63" s="20" t="s">
        <v>112</v>
      </c>
      <c r="B63" s="32">
        <v>0</v>
      </c>
      <c r="C63" s="32">
        <f>C62-B63</f>
        <v>0</v>
      </c>
      <c r="D63" s="33" t="b">
        <v>0</v>
      </c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spans="1:31" ht="15.75" customHeight="1" x14ac:dyDescent="0.25">
      <c r="A64" s="20" t="s">
        <v>113</v>
      </c>
      <c r="B64" s="32">
        <v>0</v>
      </c>
      <c r="C64" s="32">
        <f>C62-B64</f>
        <v>0</v>
      </c>
      <c r="D64" s="33" t="b">
        <v>0</v>
      </c>
      <c r="E64" s="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 spans="1:31" ht="15.75" customHeight="1" x14ac:dyDescent="0.25">
      <c r="A65" s="20" t="s">
        <v>114</v>
      </c>
      <c r="B65" s="32">
        <v>0</v>
      </c>
      <c r="C65" s="32">
        <f>C64-B65</f>
        <v>0</v>
      </c>
      <c r="D65" s="33" t="b">
        <v>0</v>
      </c>
      <c r="E65" s="5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1:31" ht="15.75" customHeight="1" x14ac:dyDescent="0.25">
      <c r="A66" s="20" t="s">
        <v>115</v>
      </c>
      <c r="B66" s="32">
        <v>0</v>
      </c>
      <c r="C66" s="32">
        <f>C64-B66</f>
        <v>0</v>
      </c>
      <c r="D66" s="33" t="b">
        <v>0</v>
      </c>
      <c r="E66" s="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spans="1:31" ht="15.75" customHeight="1" x14ac:dyDescent="0.25">
      <c r="A67" s="20" t="s">
        <v>116</v>
      </c>
      <c r="B67" s="32">
        <v>0</v>
      </c>
      <c r="C67" s="32">
        <f>C66-B67</f>
        <v>0</v>
      </c>
      <c r="D67" s="33" t="b">
        <v>0</v>
      </c>
      <c r="E67" s="5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spans="1:31" ht="15.75" customHeight="1" x14ac:dyDescent="0.25">
      <c r="A68" s="34" t="s">
        <v>117</v>
      </c>
      <c r="B68" s="35">
        <v>0</v>
      </c>
      <c r="C68" s="35">
        <f>C66-B68</f>
        <v>0</v>
      </c>
      <c r="D68" s="36" t="b">
        <v>0</v>
      </c>
      <c r="E68" s="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spans="1:31" ht="15.75" customHeight="1" x14ac:dyDescent="0.25">
      <c r="A69" s="37"/>
      <c r="B69" s="27"/>
      <c r="C69" s="27"/>
      <c r="D69" s="2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spans="1:31" ht="15.75" customHeight="1" x14ac:dyDescent="0.25">
      <c r="A70" s="38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spans="1:31" ht="15.75" customHeight="1" x14ac:dyDescent="0.25">
      <c r="A71" s="38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spans="1:31" ht="15.75" customHeight="1" x14ac:dyDescent="0.25">
      <c r="A72" s="3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 spans="1:31" ht="15.75" customHeight="1" x14ac:dyDescent="0.25">
      <c r="A73" s="3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spans="1:31" ht="15.75" customHeight="1" x14ac:dyDescent="0.25">
      <c r="A74" s="3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 spans="1:31" ht="15.75" customHeight="1" x14ac:dyDescent="0.25">
      <c r="A75" s="38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spans="1:31" ht="15.75" customHeight="1" x14ac:dyDescent="0.25">
      <c r="A76" s="38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 spans="1:31" ht="15.75" customHeight="1" x14ac:dyDescent="0.25">
      <c r="A77" s="38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spans="1:31" ht="15.75" customHeight="1" x14ac:dyDescent="0.25">
      <c r="A78" s="38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 spans="1:31" ht="15.75" customHeight="1" x14ac:dyDescent="0.25">
      <c r="A79" s="3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spans="1:31" ht="15.75" customHeight="1" x14ac:dyDescent="0.25">
      <c r="A80" s="38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1:31" ht="15.75" customHeight="1" x14ac:dyDescent="0.25">
      <c r="A81" s="38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spans="1:31" ht="15.75" customHeight="1" x14ac:dyDescent="0.25">
      <c r="A82" s="38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spans="1:31" ht="15.75" customHeight="1" x14ac:dyDescent="0.25">
      <c r="A83" s="38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spans="1:31" ht="15.75" customHeight="1" x14ac:dyDescent="0.25">
      <c r="A84" s="38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 spans="1:31" ht="15.75" customHeight="1" x14ac:dyDescent="0.25">
      <c r="A85" s="38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spans="1:31" ht="15.75" customHeight="1" x14ac:dyDescent="0.25">
      <c r="A86" s="38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 spans="1:31" ht="15.75" customHeight="1" x14ac:dyDescent="0.25">
      <c r="A87" s="38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spans="1:31" ht="15.75" customHeight="1" x14ac:dyDescent="0.25">
      <c r="A88" s="38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 spans="1:31" ht="15.75" customHeight="1" x14ac:dyDescent="0.25">
      <c r="A89" s="38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 spans="1:31" ht="15.75" customHeight="1" x14ac:dyDescent="0.25">
      <c r="A90" s="38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 spans="1:31" ht="15.75" customHeight="1" x14ac:dyDescent="0.25"/>
    <row r="92" spans="1:31" ht="15.75" customHeight="1" x14ac:dyDescent="0.25"/>
    <row r="93" spans="1:31" ht="15.75" customHeight="1" x14ac:dyDescent="0.25"/>
    <row r="94" spans="1:31" ht="15.75" customHeight="1" x14ac:dyDescent="0.25"/>
    <row r="95" spans="1:31" ht="15.75" customHeight="1" x14ac:dyDescent="0.25"/>
    <row r="96" spans="1:3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</sheetData>
  <mergeCells count="42">
    <mergeCell ref="A35:J35"/>
    <mergeCell ref="A43:J43"/>
    <mergeCell ref="A48:E48"/>
    <mergeCell ref="A50:B50"/>
    <mergeCell ref="A51:D51"/>
    <mergeCell ref="A54:D54"/>
    <mergeCell ref="A57:D57"/>
    <mergeCell ref="A60:D60"/>
    <mergeCell ref="J31:J34"/>
    <mergeCell ref="G11:G14"/>
    <mergeCell ref="J11:J14"/>
    <mergeCell ref="G16:G17"/>
    <mergeCell ref="J16:J17"/>
    <mergeCell ref="J21:J25"/>
    <mergeCell ref="G27:G29"/>
    <mergeCell ref="G31:G34"/>
    <mergeCell ref="A18:J18"/>
    <mergeCell ref="A20:J20"/>
    <mergeCell ref="A26:J26"/>
    <mergeCell ref="A30:J30"/>
    <mergeCell ref="B31:B34"/>
    <mergeCell ref="C31:C34"/>
    <mergeCell ref="E31:E34"/>
    <mergeCell ref="B11:B14"/>
    <mergeCell ref="B16:B17"/>
    <mergeCell ref="C16:C17"/>
    <mergeCell ref="E16:E17"/>
    <mergeCell ref="C21:C25"/>
    <mergeCell ref="E21:E25"/>
    <mergeCell ref="A15:J15"/>
    <mergeCell ref="B21:B25"/>
    <mergeCell ref="B27:B29"/>
    <mergeCell ref="C27:C29"/>
    <mergeCell ref="E27:E29"/>
    <mergeCell ref="G21:G25"/>
    <mergeCell ref="J27:J29"/>
    <mergeCell ref="A1:E1"/>
    <mergeCell ref="L1:Q1"/>
    <mergeCell ref="A3:J3"/>
    <mergeCell ref="A10:J10"/>
    <mergeCell ref="C11:C14"/>
    <mergeCell ref="E11:E14"/>
  </mergeCells>
  <conditionalFormatting sqref="Q4:Q9">
    <cfRule type="colorScale" priority="1">
      <colorScale>
        <cfvo type="min"/>
        <cfvo type="max"/>
        <color rgb="FFFFFFFF"/>
        <color rgb="FF57BB8A"/>
      </colorScale>
    </cfRule>
  </conditionalFormatting>
  <dataValidations count="2">
    <dataValidation type="list" allowBlank="1" showErrorMessage="1" sqref="G4:G9 G11 G16 G19 G27 G31 G36:G42 G44:G47" xr:uid="{00000000-0002-0000-0500-000000000000}">
      <formula1>"Pago,Pendente"</formula1>
    </dataValidation>
    <dataValidation type="list" allowBlank="1" showErrorMessage="1" sqref="Q4:Q8" xr:uid="{00000000-0002-0000-0500-000001000000}">
      <formula1>"Recebido,Pendente"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E944"/>
  <sheetViews>
    <sheetView workbookViewId="0"/>
  </sheetViews>
  <sheetFormatPr defaultColWidth="12.6640625" defaultRowHeight="15" customHeight="1" x14ac:dyDescent="0.25"/>
  <cols>
    <col min="1" max="1" width="51.6640625" customWidth="1"/>
    <col min="2" max="2" width="18" customWidth="1"/>
    <col min="3" max="3" width="16" customWidth="1"/>
    <col min="4" max="4" width="14" customWidth="1"/>
    <col min="5" max="5" width="12" customWidth="1"/>
    <col min="6" max="6" width="14" customWidth="1"/>
    <col min="7" max="7" width="12.77734375" customWidth="1"/>
    <col min="8" max="10" width="16" customWidth="1"/>
    <col min="11" max="11" width="9.109375" customWidth="1"/>
    <col min="12" max="12" width="28" customWidth="1"/>
    <col min="13" max="15" width="14" customWidth="1"/>
    <col min="16" max="16" width="18" customWidth="1"/>
    <col min="17" max="17" width="17.6640625" customWidth="1"/>
  </cols>
  <sheetData>
    <row r="1" spans="1:31" ht="15.75" customHeight="1" x14ac:dyDescent="0.25">
      <c r="A1" s="74" t="s">
        <v>165</v>
      </c>
      <c r="B1" s="75"/>
      <c r="C1" s="75"/>
      <c r="D1" s="75"/>
      <c r="E1" s="76"/>
      <c r="F1" s="1" t="s">
        <v>0</v>
      </c>
      <c r="G1" s="2"/>
      <c r="H1" s="28">
        <f>M9</f>
        <v>6240</v>
      </c>
      <c r="I1" s="39"/>
      <c r="J1" s="3"/>
      <c r="K1" s="4"/>
      <c r="L1" s="77" t="s">
        <v>1</v>
      </c>
      <c r="M1" s="75"/>
      <c r="N1" s="75"/>
      <c r="O1" s="75"/>
      <c r="P1" s="75"/>
      <c r="Q1" s="78"/>
      <c r="R1" s="5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ht="15.75" customHeight="1" x14ac:dyDescent="0.25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40" t="s">
        <v>119</v>
      </c>
      <c r="J2" s="9" t="s">
        <v>10</v>
      </c>
      <c r="K2" s="4"/>
      <c r="L2" s="7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9" t="s">
        <v>16</v>
      </c>
      <c r="R2" s="10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5.75" customHeight="1" x14ac:dyDescent="0.3">
      <c r="A3" s="65" t="s">
        <v>137</v>
      </c>
      <c r="B3" s="66"/>
      <c r="C3" s="66"/>
      <c r="D3" s="66"/>
      <c r="E3" s="66"/>
      <c r="F3" s="66"/>
      <c r="G3" s="66"/>
      <c r="H3" s="66"/>
      <c r="I3" s="66"/>
      <c r="J3" s="67"/>
      <c r="K3" s="4"/>
      <c r="L3" s="12"/>
      <c r="M3" s="13"/>
      <c r="N3" s="13"/>
      <c r="O3" s="13"/>
      <c r="P3" s="13"/>
      <c r="Q3" s="14"/>
      <c r="R3" s="5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5.75" customHeight="1" x14ac:dyDescent="0.25">
      <c r="A4" s="15" t="s">
        <v>17</v>
      </c>
      <c r="B4" s="16" t="s">
        <v>18</v>
      </c>
      <c r="C4" s="16" t="s">
        <v>19</v>
      </c>
      <c r="D4" s="16" t="s">
        <v>20</v>
      </c>
      <c r="E4" s="16" t="s">
        <v>20</v>
      </c>
      <c r="F4" s="17">
        <v>65</v>
      </c>
      <c r="G4" s="18" t="s">
        <v>89</v>
      </c>
      <c r="H4" s="17">
        <f>H1-F4</f>
        <v>6175</v>
      </c>
      <c r="I4" s="41"/>
      <c r="J4" s="19"/>
      <c r="K4" s="4"/>
      <c r="L4" s="20" t="s">
        <v>21</v>
      </c>
      <c r="M4" s="21">
        <v>2540</v>
      </c>
      <c r="N4" s="21">
        <v>580</v>
      </c>
      <c r="O4" s="21">
        <v>264</v>
      </c>
      <c r="P4" s="22">
        <v>5</v>
      </c>
      <c r="Q4" s="14" t="s">
        <v>89</v>
      </c>
      <c r="R4" s="5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ht="15.75" customHeight="1" x14ac:dyDescent="0.25">
      <c r="A5" s="15" t="s">
        <v>22</v>
      </c>
      <c r="B5" s="16" t="s">
        <v>23</v>
      </c>
      <c r="C5" s="16" t="s">
        <v>24</v>
      </c>
      <c r="D5" s="16" t="s">
        <v>20</v>
      </c>
      <c r="E5" s="16">
        <v>7</v>
      </c>
      <c r="F5" s="17">
        <v>1371.16</v>
      </c>
      <c r="G5" s="18" t="s">
        <v>89</v>
      </c>
      <c r="H5" s="17">
        <f t="shared" ref="H5:H9" si="0">H4-F5</f>
        <v>4803.84</v>
      </c>
      <c r="I5" s="41"/>
      <c r="J5" s="19"/>
      <c r="K5" s="4"/>
      <c r="L5" s="20" t="s">
        <v>25</v>
      </c>
      <c r="M5" s="21">
        <v>2000</v>
      </c>
      <c r="N5" s="23" t="s">
        <v>20</v>
      </c>
      <c r="O5" s="23" t="s">
        <v>20</v>
      </c>
      <c r="P5" s="22">
        <v>10</v>
      </c>
      <c r="Q5" s="14" t="s">
        <v>89</v>
      </c>
      <c r="R5" s="5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ht="15.75" customHeight="1" x14ac:dyDescent="0.25">
      <c r="A6" s="15" t="s">
        <v>26</v>
      </c>
      <c r="B6" s="16" t="s">
        <v>27</v>
      </c>
      <c r="C6" s="16" t="s">
        <v>24</v>
      </c>
      <c r="D6" s="16" t="s">
        <v>20</v>
      </c>
      <c r="E6" s="16">
        <v>7</v>
      </c>
      <c r="F6" s="17">
        <v>473.45</v>
      </c>
      <c r="G6" s="18" t="s">
        <v>89</v>
      </c>
      <c r="H6" s="17">
        <f t="shared" si="0"/>
        <v>4330.3900000000003</v>
      </c>
      <c r="I6" s="41"/>
      <c r="J6" s="19"/>
      <c r="K6" s="4"/>
      <c r="L6" s="20" t="s">
        <v>28</v>
      </c>
      <c r="M6" s="21">
        <v>400</v>
      </c>
      <c r="N6" s="23" t="s">
        <v>20</v>
      </c>
      <c r="O6" s="23" t="s">
        <v>20</v>
      </c>
      <c r="P6" s="22">
        <v>10</v>
      </c>
      <c r="Q6" s="14" t="s">
        <v>89</v>
      </c>
      <c r="R6" s="5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ht="15.75" customHeight="1" x14ac:dyDescent="0.25">
      <c r="A7" s="15" t="s">
        <v>29</v>
      </c>
      <c r="B7" s="16" t="s">
        <v>30</v>
      </c>
      <c r="C7" s="16" t="s">
        <v>31</v>
      </c>
      <c r="D7" s="16" t="s">
        <v>20</v>
      </c>
      <c r="E7" s="16">
        <v>20</v>
      </c>
      <c r="F7" s="17">
        <v>127.99</v>
      </c>
      <c r="G7" s="18" t="s">
        <v>89</v>
      </c>
      <c r="H7" s="17">
        <f t="shared" si="0"/>
        <v>4202.4000000000005</v>
      </c>
      <c r="I7" s="41"/>
      <c r="J7" s="19"/>
      <c r="K7" s="4" t="s">
        <v>149</v>
      </c>
      <c r="L7" s="20" t="s">
        <v>34</v>
      </c>
      <c r="M7" s="21">
        <v>500</v>
      </c>
      <c r="N7" s="23" t="s">
        <v>20</v>
      </c>
      <c r="O7" s="23" t="s">
        <v>20</v>
      </c>
      <c r="P7" s="22">
        <v>10</v>
      </c>
      <c r="Q7" s="14" t="s">
        <v>89</v>
      </c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 ht="15.75" customHeight="1" x14ac:dyDescent="0.25">
      <c r="A8" s="15" t="s">
        <v>32</v>
      </c>
      <c r="B8" s="16" t="s">
        <v>33</v>
      </c>
      <c r="C8" s="16" t="s">
        <v>31</v>
      </c>
      <c r="D8" s="16" t="s">
        <v>20</v>
      </c>
      <c r="E8" s="16">
        <v>10</v>
      </c>
      <c r="F8" s="17">
        <v>40.909999999999997</v>
      </c>
      <c r="G8" s="18" t="s">
        <v>89</v>
      </c>
      <c r="H8" s="17">
        <f t="shared" si="0"/>
        <v>4161.4900000000007</v>
      </c>
      <c r="I8" s="41"/>
      <c r="J8" s="19"/>
      <c r="K8" s="4"/>
      <c r="L8" s="20" t="s">
        <v>37</v>
      </c>
      <c r="M8" s="21">
        <v>800</v>
      </c>
      <c r="N8" s="23" t="s">
        <v>20</v>
      </c>
      <c r="O8" s="23" t="s">
        <v>20</v>
      </c>
      <c r="P8" s="22">
        <v>15</v>
      </c>
      <c r="Q8" s="14" t="s">
        <v>89</v>
      </c>
      <c r="R8" s="5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1" ht="15.75" customHeight="1" x14ac:dyDescent="0.25">
      <c r="A9" s="15" t="s">
        <v>35</v>
      </c>
      <c r="B9" s="16" t="s">
        <v>36</v>
      </c>
      <c r="C9" s="16" t="s">
        <v>31</v>
      </c>
      <c r="D9" s="16" t="s">
        <v>20</v>
      </c>
      <c r="E9" s="16">
        <v>17</v>
      </c>
      <c r="F9" s="17">
        <v>99.99</v>
      </c>
      <c r="G9" s="18" t="s">
        <v>89</v>
      </c>
      <c r="H9" s="17">
        <f t="shared" si="0"/>
        <v>4061.5000000000009</v>
      </c>
      <c r="I9" s="41"/>
      <c r="J9" s="19"/>
      <c r="K9" s="4"/>
      <c r="L9" s="24"/>
      <c r="M9" s="25">
        <f>SUM(M4:M8)</f>
        <v>6240</v>
      </c>
      <c r="N9" s="25"/>
      <c r="O9" s="25"/>
      <c r="P9" s="26"/>
      <c r="Q9" s="14"/>
      <c r="R9" s="5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ht="15.75" customHeight="1" x14ac:dyDescent="0.25">
      <c r="A10" s="65" t="s">
        <v>38</v>
      </c>
      <c r="B10" s="66"/>
      <c r="C10" s="66"/>
      <c r="D10" s="66"/>
      <c r="E10" s="66"/>
      <c r="F10" s="66"/>
      <c r="G10" s="66"/>
      <c r="H10" s="66"/>
      <c r="I10" s="66"/>
      <c r="J10" s="67"/>
      <c r="K10" s="4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15.75" customHeight="1" x14ac:dyDescent="0.25">
      <c r="A11" s="15" t="s">
        <v>40</v>
      </c>
      <c r="B11" s="64"/>
      <c r="C11" s="64"/>
      <c r="D11" s="16" t="s">
        <v>46</v>
      </c>
      <c r="E11" s="64"/>
      <c r="F11" s="17">
        <v>286.81</v>
      </c>
      <c r="G11" s="58" t="s">
        <v>89</v>
      </c>
      <c r="H11" s="17">
        <f>H9-F11</f>
        <v>3774.690000000001</v>
      </c>
      <c r="I11" s="42">
        <f>F11*10</f>
        <v>2868.1</v>
      </c>
      <c r="J11" s="73">
        <f>SUM(F11:F12)</f>
        <v>327.56</v>
      </c>
      <c r="K11" s="5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15.75" customHeight="1" x14ac:dyDescent="0.25">
      <c r="A12" s="15" t="s">
        <v>47</v>
      </c>
      <c r="B12" s="60"/>
      <c r="C12" s="60"/>
      <c r="D12" s="16" t="s">
        <v>163</v>
      </c>
      <c r="E12" s="60"/>
      <c r="F12" s="17">
        <v>40.75</v>
      </c>
      <c r="G12" s="60"/>
      <c r="H12" s="17">
        <f>H11-F12</f>
        <v>3733.940000000001</v>
      </c>
      <c r="I12" s="42">
        <f>F12*5</f>
        <v>203.75</v>
      </c>
      <c r="J12" s="63"/>
      <c r="K12" s="5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ht="15.75" customHeight="1" x14ac:dyDescent="0.25">
      <c r="A13" s="65" t="s">
        <v>50</v>
      </c>
      <c r="B13" s="66"/>
      <c r="C13" s="66"/>
      <c r="D13" s="66"/>
      <c r="E13" s="66"/>
      <c r="F13" s="66"/>
      <c r="G13" s="66"/>
      <c r="H13" s="66"/>
      <c r="I13" s="66"/>
      <c r="J13" s="67"/>
      <c r="K13" s="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ht="15.75" customHeight="1" x14ac:dyDescent="0.25">
      <c r="A14" s="15" t="s">
        <v>51</v>
      </c>
      <c r="B14" s="64" t="s">
        <v>52</v>
      </c>
      <c r="C14" s="64" t="s">
        <v>39</v>
      </c>
      <c r="D14" s="16" t="s">
        <v>122</v>
      </c>
      <c r="E14" s="64" t="s">
        <v>54</v>
      </c>
      <c r="F14" s="17">
        <v>33.67</v>
      </c>
      <c r="G14" s="58" t="s">
        <v>89</v>
      </c>
      <c r="H14" s="17">
        <f>H12-F14</f>
        <v>3700.2700000000009</v>
      </c>
      <c r="I14" s="42">
        <f t="shared" ref="I14:I15" si="1">F14*9</f>
        <v>303.03000000000003</v>
      </c>
      <c r="J14" s="73">
        <f>SUM(F14:F15)</f>
        <v>59.67</v>
      </c>
      <c r="K14" s="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ht="15.75" customHeight="1" x14ac:dyDescent="0.25">
      <c r="A15" s="15" t="s">
        <v>55</v>
      </c>
      <c r="B15" s="60"/>
      <c r="C15" s="60"/>
      <c r="D15" s="16" t="s">
        <v>122</v>
      </c>
      <c r="E15" s="60"/>
      <c r="F15" s="17">
        <v>26</v>
      </c>
      <c r="G15" s="60"/>
      <c r="H15" s="17">
        <f>H14-F15</f>
        <v>3674.2700000000009</v>
      </c>
      <c r="I15" s="42">
        <f t="shared" si="1"/>
        <v>234</v>
      </c>
      <c r="J15" s="63"/>
      <c r="K15" s="5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ht="15.75" customHeight="1" x14ac:dyDescent="0.25">
      <c r="A16" s="65" t="s">
        <v>56</v>
      </c>
      <c r="B16" s="66"/>
      <c r="C16" s="66"/>
      <c r="D16" s="66"/>
      <c r="E16" s="66"/>
      <c r="F16" s="66"/>
      <c r="G16" s="66"/>
      <c r="H16" s="66"/>
      <c r="I16" s="66"/>
      <c r="J16" s="67"/>
      <c r="K16" s="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ht="15.75" customHeight="1" x14ac:dyDescent="0.25">
      <c r="A17" s="15" t="s">
        <v>141</v>
      </c>
      <c r="B17" s="16" t="s">
        <v>57</v>
      </c>
      <c r="C17" s="16" t="s">
        <v>39</v>
      </c>
      <c r="D17" s="16" t="s">
        <v>20</v>
      </c>
      <c r="E17" s="16" t="s">
        <v>54</v>
      </c>
      <c r="F17" s="17">
        <v>0</v>
      </c>
      <c r="G17" s="18" t="s">
        <v>89</v>
      </c>
      <c r="H17" s="17">
        <f>H15-F17</f>
        <v>3674.2700000000009</v>
      </c>
      <c r="I17" s="43"/>
      <c r="J17" s="44">
        <f>SUM(F17)</f>
        <v>0</v>
      </c>
      <c r="K17" s="5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ht="15.75" customHeight="1" x14ac:dyDescent="0.25">
      <c r="A18" s="65" t="s">
        <v>58</v>
      </c>
      <c r="B18" s="66"/>
      <c r="C18" s="66"/>
      <c r="D18" s="66"/>
      <c r="E18" s="66"/>
      <c r="F18" s="66"/>
      <c r="G18" s="66"/>
      <c r="H18" s="66"/>
      <c r="I18" s="66"/>
      <c r="J18" s="67"/>
      <c r="K18" s="5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ht="15.75" customHeight="1" x14ac:dyDescent="0.25">
      <c r="A19" s="15" t="s">
        <v>60</v>
      </c>
      <c r="B19" s="64"/>
      <c r="C19" s="64"/>
      <c r="D19" s="16" t="s">
        <v>46</v>
      </c>
      <c r="E19" s="64"/>
      <c r="F19" s="17">
        <v>25.98</v>
      </c>
      <c r="G19" s="58"/>
      <c r="H19" s="17">
        <f>H17-F19</f>
        <v>3648.2900000000009</v>
      </c>
      <c r="I19" s="43">
        <f t="shared" ref="I19:I20" si="2">F19*10</f>
        <v>259.8</v>
      </c>
      <c r="J19" s="81"/>
      <c r="K19" s="5"/>
      <c r="L19" s="57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ht="15.75" customHeight="1" x14ac:dyDescent="0.25">
      <c r="A20" s="15" t="s">
        <v>62</v>
      </c>
      <c r="B20" s="59"/>
      <c r="C20" s="59"/>
      <c r="D20" s="16" t="s">
        <v>46</v>
      </c>
      <c r="E20" s="59"/>
      <c r="F20" s="17">
        <v>133.37</v>
      </c>
      <c r="G20" s="59"/>
      <c r="H20" s="17">
        <f t="shared" ref="H20:H23" si="3">H19-F20</f>
        <v>3514.920000000001</v>
      </c>
      <c r="I20" s="43">
        <f t="shared" si="2"/>
        <v>1333.7</v>
      </c>
      <c r="J20" s="62"/>
      <c r="K20" s="5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ht="15.75" customHeight="1" x14ac:dyDescent="0.25">
      <c r="A21" s="15" t="s">
        <v>63</v>
      </c>
      <c r="B21" s="59"/>
      <c r="C21" s="59"/>
      <c r="D21" s="16" t="s">
        <v>163</v>
      </c>
      <c r="E21" s="59"/>
      <c r="F21" s="17">
        <v>133.33000000000001</v>
      </c>
      <c r="G21" s="59"/>
      <c r="H21" s="17">
        <f t="shared" si="3"/>
        <v>3381.5900000000011</v>
      </c>
      <c r="I21" s="43">
        <f t="shared" ref="I21:I22" si="4">F21*5</f>
        <v>666.65000000000009</v>
      </c>
      <c r="J21" s="62"/>
      <c r="K21" s="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ht="15.75" customHeight="1" x14ac:dyDescent="0.25">
      <c r="A22" s="15" t="s">
        <v>65</v>
      </c>
      <c r="B22" s="59"/>
      <c r="C22" s="59"/>
      <c r="D22" s="16" t="s">
        <v>163</v>
      </c>
      <c r="E22" s="59"/>
      <c r="F22" s="17">
        <v>57.99</v>
      </c>
      <c r="G22" s="59"/>
      <c r="H22" s="17">
        <f t="shared" si="3"/>
        <v>3323.6000000000013</v>
      </c>
      <c r="I22" s="43">
        <f t="shared" si="4"/>
        <v>289.95</v>
      </c>
      <c r="J22" s="62"/>
      <c r="K22" s="5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1" ht="15.75" customHeight="1" x14ac:dyDescent="0.25">
      <c r="A23" s="15" t="s">
        <v>66</v>
      </c>
      <c r="B23" s="60"/>
      <c r="C23" s="60"/>
      <c r="D23" s="16" t="s">
        <v>163</v>
      </c>
      <c r="E23" s="60"/>
      <c r="F23" s="17">
        <v>16.62</v>
      </c>
      <c r="G23" s="60"/>
      <c r="H23" s="17">
        <f t="shared" si="3"/>
        <v>3306.9800000000014</v>
      </c>
      <c r="I23" s="43">
        <f>F23+5</f>
        <v>21.62</v>
      </c>
      <c r="J23" s="63"/>
      <c r="K23" s="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ht="15.75" customHeight="1" x14ac:dyDescent="0.25">
      <c r="A24" s="65" t="s">
        <v>68</v>
      </c>
      <c r="B24" s="66"/>
      <c r="C24" s="66"/>
      <c r="D24" s="66"/>
      <c r="E24" s="66"/>
      <c r="F24" s="66"/>
      <c r="G24" s="66"/>
      <c r="H24" s="66"/>
      <c r="I24" s="66"/>
      <c r="J24" s="67"/>
      <c r="K24" s="5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ht="15.75" customHeight="1" x14ac:dyDescent="0.25">
      <c r="A25" s="15" t="s">
        <v>69</v>
      </c>
      <c r="B25" s="64" t="s">
        <v>70</v>
      </c>
      <c r="C25" s="64" t="s">
        <v>39</v>
      </c>
      <c r="D25" s="16" t="s">
        <v>166</v>
      </c>
      <c r="E25" s="64" t="s">
        <v>54</v>
      </c>
      <c r="F25" s="17">
        <v>81.66</v>
      </c>
      <c r="G25" s="58" t="s">
        <v>89</v>
      </c>
      <c r="H25" s="17">
        <f>H23-F25</f>
        <v>3225.3200000000015</v>
      </c>
      <c r="I25" s="43">
        <f>F25*8</f>
        <v>653.28</v>
      </c>
      <c r="J25" s="79">
        <f>SUM(F25:F27)</f>
        <v>285.14</v>
      </c>
      <c r="K25" s="5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ht="15.75" customHeight="1" x14ac:dyDescent="0.25">
      <c r="A26" s="15" t="s">
        <v>65</v>
      </c>
      <c r="B26" s="59"/>
      <c r="C26" s="59"/>
      <c r="D26" s="16" t="s">
        <v>163</v>
      </c>
      <c r="E26" s="59"/>
      <c r="F26" s="17">
        <v>57.99</v>
      </c>
      <c r="G26" s="59"/>
      <c r="H26" s="17">
        <f t="shared" ref="H26:H27" si="5">H25-F26</f>
        <v>3167.3300000000017</v>
      </c>
      <c r="I26" s="43">
        <f>F26*5</f>
        <v>289.95</v>
      </c>
      <c r="J26" s="62"/>
      <c r="K26" s="5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ht="15.75" customHeight="1" x14ac:dyDescent="0.25">
      <c r="A27" s="52" t="s">
        <v>71</v>
      </c>
      <c r="B27" s="60"/>
      <c r="C27" s="60"/>
      <c r="D27" s="53" t="s">
        <v>46</v>
      </c>
      <c r="E27" s="60"/>
      <c r="F27" s="54">
        <v>145.49</v>
      </c>
      <c r="G27" s="60"/>
      <c r="H27" s="54">
        <f t="shared" si="5"/>
        <v>3021.840000000002</v>
      </c>
      <c r="I27" s="55">
        <f>F27*10</f>
        <v>1454.9</v>
      </c>
      <c r="J27" s="63"/>
      <c r="K27" s="5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ht="15.75" customHeight="1" x14ac:dyDescent="0.25">
      <c r="A28" s="65" t="s">
        <v>72</v>
      </c>
      <c r="B28" s="66"/>
      <c r="C28" s="66"/>
      <c r="D28" s="66"/>
      <c r="E28" s="66"/>
      <c r="F28" s="66"/>
      <c r="G28" s="66"/>
      <c r="H28" s="66"/>
      <c r="I28" s="66"/>
      <c r="J28" s="67"/>
      <c r="K28" s="5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ht="15.75" customHeight="1" x14ac:dyDescent="0.25">
      <c r="A29" s="15" t="s">
        <v>127</v>
      </c>
      <c r="B29" s="64" t="s">
        <v>73</v>
      </c>
      <c r="C29" s="64" t="s">
        <v>39</v>
      </c>
      <c r="D29" s="16" t="s">
        <v>46</v>
      </c>
      <c r="E29" s="64" t="s">
        <v>74</v>
      </c>
      <c r="F29" s="29">
        <v>68.42</v>
      </c>
      <c r="G29" s="58" t="s">
        <v>89</v>
      </c>
      <c r="H29" s="17">
        <f>H27-F29</f>
        <v>2953.4200000000019</v>
      </c>
      <c r="I29" s="43">
        <f t="shared" ref="I29:I32" si="6">F29*10</f>
        <v>684.2</v>
      </c>
      <c r="J29" s="61">
        <f>SUM(F29:F31)</f>
        <v>136.22</v>
      </c>
      <c r="K29" s="5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ht="15.75" customHeight="1" x14ac:dyDescent="0.25">
      <c r="A30" s="15" t="s">
        <v>128</v>
      </c>
      <c r="B30" s="59"/>
      <c r="C30" s="59"/>
      <c r="D30" s="16" t="s">
        <v>46</v>
      </c>
      <c r="E30" s="59"/>
      <c r="F30" s="29">
        <v>40.68</v>
      </c>
      <c r="G30" s="59"/>
      <c r="H30" s="17">
        <f t="shared" ref="H30:H32" si="7">H29-F30</f>
        <v>2912.7400000000021</v>
      </c>
      <c r="I30" s="43">
        <f t="shared" si="6"/>
        <v>406.8</v>
      </c>
      <c r="J30" s="62"/>
      <c r="K30" s="5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spans="1:31" ht="15.75" customHeight="1" x14ac:dyDescent="0.25">
      <c r="A31" s="15" t="s">
        <v>129</v>
      </c>
      <c r="B31" s="59"/>
      <c r="C31" s="59"/>
      <c r="D31" s="16" t="s">
        <v>46</v>
      </c>
      <c r="E31" s="59"/>
      <c r="F31" s="29">
        <v>27.12</v>
      </c>
      <c r="G31" s="59"/>
      <c r="H31" s="17">
        <f t="shared" si="7"/>
        <v>2885.6200000000022</v>
      </c>
      <c r="I31" s="43">
        <f t="shared" si="6"/>
        <v>271.2</v>
      </c>
      <c r="J31" s="62"/>
      <c r="K31" s="5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1" ht="15.75" customHeight="1" x14ac:dyDescent="0.25">
      <c r="A32" s="15" t="s">
        <v>136</v>
      </c>
      <c r="B32" s="60"/>
      <c r="C32" s="60"/>
      <c r="D32" s="16" t="s">
        <v>48</v>
      </c>
      <c r="E32" s="60"/>
      <c r="F32" s="29">
        <v>57.86</v>
      </c>
      <c r="G32" s="60"/>
      <c r="H32" s="17">
        <f t="shared" si="7"/>
        <v>2827.760000000002</v>
      </c>
      <c r="I32" s="43">
        <f t="shared" si="6"/>
        <v>578.6</v>
      </c>
      <c r="J32" s="63"/>
      <c r="K32" s="5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spans="1:31" ht="15.75" customHeight="1" x14ac:dyDescent="0.25">
      <c r="A33" s="65" t="s">
        <v>75</v>
      </c>
      <c r="B33" s="66"/>
      <c r="C33" s="66"/>
      <c r="D33" s="66"/>
      <c r="E33" s="66"/>
      <c r="F33" s="66"/>
      <c r="G33" s="66"/>
      <c r="H33" s="66"/>
      <c r="I33" s="66"/>
      <c r="J33" s="67"/>
      <c r="K33" s="5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spans="1:31" ht="15.75" customHeight="1" x14ac:dyDescent="0.25">
      <c r="A34" s="15" t="s">
        <v>76</v>
      </c>
      <c r="B34" s="16" t="s">
        <v>77</v>
      </c>
      <c r="C34" s="16" t="s">
        <v>31</v>
      </c>
      <c r="D34" s="16" t="s">
        <v>20</v>
      </c>
      <c r="E34" s="16" t="s">
        <v>54</v>
      </c>
      <c r="F34" s="17">
        <v>856.34</v>
      </c>
      <c r="G34" s="18" t="s">
        <v>89</v>
      </c>
      <c r="H34" s="17">
        <f>H32-F34</f>
        <v>1971.4200000000019</v>
      </c>
      <c r="I34" s="41"/>
      <c r="J34" s="19"/>
      <c r="K34" s="5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spans="1:31" ht="15.75" customHeight="1" x14ac:dyDescent="0.25">
      <c r="A35" s="15" t="s">
        <v>78</v>
      </c>
      <c r="B35" s="16" t="s">
        <v>20</v>
      </c>
      <c r="C35" s="18"/>
      <c r="D35" s="16"/>
      <c r="E35" s="16" t="s">
        <v>20</v>
      </c>
      <c r="F35" s="17">
        <v>90</v>
      </c>
      <c r="G35" s="18" t="s">
        <v>89</v>
      </c>
      <c r="H35" s="17">
        <f t="shared" ref="H35:H40" si="8">H34-F35</f>
        <v>1881.4200000000019</v>
      </c>
      <c r="I35" s="41"/>
      <c r="J35" s="19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31" ht="15.75" customHeight="1" x14ac:dyDescent="0.25">
      <c r="A36" s="15" t="s">
        <v>88</v>
      </c>
      <c r="B36" s="16" t="s">
        <v>20</v>
      </c>
      <c r="C36" s="16" t="s">
        <v>85</v>
      </c>
      <c r="D36" s="16" t="s">
        <v>20</v>
      </c>
      <c r="E36" s="16" t="s">
        <v>20</v>
      </c>
      <c r="F36" s="29">
        <v>150</v>
      </c>
      <c r="G36" s="18" t="s">
        <v>89</v>
      </c>
      <c r="H36" s="17">
        <f t="shared" si="8"/>
        <v>1731.4200000000019</v>
      </c>
      <c r="I36" s="41"/>
      <c r="J36" s="19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spans="1:31" ht="15.75" customHeight="1" x14ac:dyDescent="0.25">
      <c r="A37" s="15" t="s">
        <v>79</v>
      </c>
      <c r="B37" s="16" t="s">
        <v>80</v>
      </c>
      <c r="C37" s="18" t="s">
        <v>81</v>
      </c>
      <c r="D37" s="16" t="s">
        <v>20</v>
      </c>
      <c r="E37" s="16" t="s">
        <v>82</v>
      </c>
      <c r="F37" s="17">
        <v>40.9</v>
      </c>
      <c r="G37" s="18" t="s">
        <v>89</v>
      </c>
      <c r="H37" s="17">
        <f t="shared" si="8"/>
        <v>1690.5200000000018</v>
      </c>
      <c r="I37" s="41"/>
      <c r="J37" s="19"/>
      <c r="K37" s="5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spans="1:31" ht="15.75" customHeight="1" x14ac:dyDescent="0.25">
      <c r="A38" s="15" t="s">
        <v>83</v>
      </c>
      <c r="B38" s="16" t="s">
        <v>84</v>
      </c>
      <c r="C38" s="16" t="s">
        <v>85</v>
      </c>
      <c r="D38" s="16" t="s">
        <v>20</v>
      </c>
      <c r="E38" s="18" t="s">
        <v>54</v>
      </c>
      <c r="F38" s="17">
        <v>100</v>
      </c>
      <c r="G38" s="18" t="s">
        <v>89</v>
      </c>
      <c r="H38" s="17">
        <f t="shared" si="8"/>
        <v>1590.5200000000018</v>
      </c>
      <c r="I38" s="41"/>
      <c r="J38" s="19"/>
      <c r="K38" s="5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spans="1:31" ht="15.75" customHeight="1" x14ac:dyDescent="0.25">
      <c r="A39" s="15" t="s">
        <v>118</v>
      </c>
      <c r="B39" s="16" t="s">
        <v>59</v>
      </c>
      <c r="C39" s="16" t="s">
        <v>85</v>
      </c>
      <c r="D39" s="16" t="s">
        <v>20</v>
      </c>
      <c r="E39" s="16" t="s">
        <v>20</v>
      </c>
      <c r="F39" s="29">
        <f>14*22</f>
        <v>308</v>
      </c>
      <c r="G39" s="18" t="s">
        <v>89</v>
      </c>
      <c r="H39" s="17">
        <f t="shared" si="8"/>
        <v>1282.5200000000018</v>
      </c>
      <c r="I39" s="41"/>
      <c r="J39" s="19"/>
      <c r="K39" s="5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ht="15.75" customHeight="1" x14ac:dyDescent="0.25">
      <c r="A40" s="15" t="s">
        <v>86</v>
      </c>
      <c r="B40" s="16" t="s">
        <v>87</v>
      </c>
      <c r="C40" s="16" t="s">
        <v>85</v>
      </c>
      <c r="D40" s="16" t="s">
        <v>20</v>
      </c>
      <c r="E40" s="16" t="s">
        <v>20</v>
      </c>
      <c r="F40" s="29">
        <f>80*2</f>
        <v>160</v>
      </c>
      <c r="G40" s="18" t="s">
        <v>89</v>
      </c>
      <c r="H40" s="17">
        <f t="shared" si="8"/>
        <v>1122.5200000000018</v>
      </c>
      <c r="I40" s="41"/>
      <c r="J40" s="19"/>
      <c r="K40" s="5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1" ht="15.75" customHeight="1" x14ac:dyDescent="0.25">
      <c r="A41" s="65" t="s">
        <v>90</v>
      </c>
      <c r="B41" s="66"/>
      <c r="C41" s="66"/>
      <c r="D41" s="66"/>
      <c r="E41" s="66"/>
      <c r="F41" s="66"/>
      <c r="G41" s="66"/>
      <c r="H41" s="66"/>
      <c r="I41" s="66"/>
      <c r="J41" s="67"/>
      <c r="K41" s="5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ht="15.75" customHeight="1" x14ac:dyDescent="0.25">
      <c r="A42" s="15" t="s">
        <v>91</v>
      </c>
      <c r="B42" s="16" t="s">
        <v>92</v>
      </c>
      <c r="C42" s="16" t="s">
        <v>85</v>
      </c>
      <c r="D42" s="16" t="s">
        <v>20</v>
      </c>
      <c r="E42" s="16" t="s">
        <v>20</v>
      </c>
      <c r="F42" s="17">
        <v>130</v>
      </c>
      <c r="G42" s="18" t="s">
        <v>89</v>
      </c>
      <c r="H42" s="17">
        <f>H40-F42</f>
        <v>992.5200000000018</v>
      </c>
      <c r="I42" s="41"/>
      <c r="J42" s="19"/>
      <c r="K42" s="5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ht="15.75" customHeight="1" x14ac:dyDescent="0.25">
      <c r="A43" s="15" t="s">
        <v>93</v>
      </c>
      <c r="B43" s="16" t="s">
        <v>59</v>
      </c>
      <c r="C43" s="16" t="s">
        <v>85</v>
      </c>
      <c r="D43" s="16" t="s">
        <v>20</v>
      </c>
      <c r="E43" s="16" t="s">
        <v>20</v>
      </c>
      <c r="F43" s="17">
        <f>8*60</f>
        <v>480</v>
      </c>
      <c r="G43" s="18" t="s">
        <v>89</v>
      </c>
      <c r="H43" s="17">
        <f t="shared" ref="H43:H45" si="9">H42-F43</f>
        <v>512.5200000000018</v>
      </c>
      <c r="I43" s="41"/>
      <c r="J43" s="19"/>
      <c r="K43" s="5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ht="15.75" customHeight="1" x14ac:dyDescent="0.25">
      <c r="A44" s="15" t="s">
        <v>94</v>
      </c>
      <c r="B44" s="16" t="s">
        <v>95</v>
      </c>
      <c r="C44" s="16" t="s">
        <v>85</v>
      </c>
      <c r="D44" s="16" t="s">
        <v>20</v>
      </c>
      <c r="E44" s="16" t="s">
        <v>20</v>
      </c>
      <c r="F44" s="17">
        <v>70</v>
      </c>
      <c r="G44" s="18" t="s">
        <v>89</v>
      </c>
      <c r="H44" s="17">
        <f t="shared" si="9"/>
        <v>442.5200000000018</v>
      </c>
      <c r="I44" s="41"/>
      <c r="J44" s="19"/>
      <c r="K44" s="5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1" ht="15.75" customHeight="1" x14ac:dyDescent="0.25">
      <c r="A45" s="15" t="s">
        <v>96</v>
      </c>
      <c r="B45" s="16" t="s">
        <v>20</v>
      </c>
      <c r="C45" s="16" t="s">
        <v>85</v>
      </c>
      <c r="D45" s="16" t="s">
        <v>20</v>
      </c>
      <c r="E45" s="16" t="s">
        <v>20</v>
      </c>
      <c r="F45" s="17">
        <v>0</v>
      </c>
      <c r="G45" s="18" t="s">
        <v>89</v>
      </c>
      <c r="H45" s="17">
        <f t="shared" si="9"/>
        <v>442.5200000000018</v>
      </c>
      <c r="I45" s="41"/>
      <c r="J45" s="19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spans="1:31" ht="15.75" customHeight="1" x14ac:dyDescent="0.25">
      <c r="A46" s="68" t="s">
        <v>97</v>
      </c>
      <c r="B46" s="69"/>
      <c r="C46" s="69"/>
      <c r="D46" s="69"/>
      <c r="E46" s="70"/>
      <c r="F46" s="45">
        <f>H44</f>
        <v>442.5200000000018</v>
      </c>
      <c r="G46" s="14"/>
      <c r="H46" s="14"/>
      <c r="I46" s="46" t="e">
        <f>I11+#REF!+#REF!+I12+I14+I15+I19+I20+I21+I22+I23+I25+I26+I27+I29+I30+I31+I32</f>
        <v>#REF!</v>
      </c>
      <c r="J46" s="14"/>
      <c r="K46" s="5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spans="1:31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ht="15.75" customHeight="1" x14ac:dyDescent="0.25">
      <c r="A48" s="71" t="s">
        <v>98</v>
      </c>
      <c r="B48" s="72"/>
      <c r="C48" s="30">
        <f>F46</f>
        <v>442.5200000000018</v>
      </c>
      <c r="D48" s="31" t="s">
        <v>99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spans="1:31" ht="15.75" customHeight="1" x14ac:dyDescent="0.25">
      <c r="A49" s="80" t="s">
        <v>100</v>
      </c>
      <c r="B49" s="66"/>
      <c r="C49" s="66"/>
      <c r="D49" s="67"/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 ht="15.75" customHeight="1" x14ac:dyDescent="0.25">
      <c r="A50" s="20" t="s">
        <v>101</v>
      </c>
      <c r="B50" s="32">
        <v>0</v>
      </c>
      <c r="C50" s="32">
        <f>C48-B50</f>
        <v>442.5200000000018</v>
      </c>
      <c r="D50" s="33" t="b">
        <v>0</v>
      </c>
      <c r="E50" s="5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1:31" ht="15.75" customHeight="1" x14ac:dyDescent="0.25">
      <c r="A51" s="20" t="s">
        <v>102</v>
      </c>
      <c r="B51" s="32">
        <v>0</v>
      </c>
      <c r="C51" s="32">
        <f>C50-B51</f>
        <v>442.5200000000018</v>
      </c>
      <c r="D51" s="33" t="b">
        <v>0</v>
      </c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spans="1:31" ht="15.75" customHeight="1" x14ac:dyDescent="0.25">
      <c r="A52" s="80" t="s">
        <v>103</v>
      </c>
      <c r="B52" s="66"/>
      <c r="C52" s="66"/>
      <c r="D52" s="67"/>
      <c r="E52" s="5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spans="1:31" ht="15.75" customHeight="1" x14ac:dyDescent="0.25">
      <c r="A53" s="20" t="s">
        <v>104</v>
      </c>
      <c r="B53" s="32">
        <v>0</v>
      </c>
      <c r="C53" s="32">
        <f>C52-B53</f>
        <v>0</v>
      </c>
      <c r="D53" s="33" t="b">
        <v>0</v>
      </c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1" ht="15.75" customHeight="1" x14ac:dyDescent="0.25">
      <c r="A54" s="20" t="s">
        <v>105</v>
      </c>
      <c r="B54" s="32">
        <v>0</v>
      </c>
      <c r="C54" s="32">
        <f>C52-B54</f>
        <v>0</v>
      </c>
      <c r="D54" s="33" t="b">
        <v>0</v>
      </c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1" ht="15.75" customHeight="1" x14ac:dyDescent="0.25">
      <c r="A55" s="80" t="s">
        <v>106</v>
      </c>
      <c r="B55" s="66"/>
      <c r="C55" s="66"/>
      <c r="D55" s="67"/>
      <c r="E55" s="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1" ht="15.75" customHeight="1" x14ac:dyDescent="0.25">
      <c r="A56" s="20" t="s">
        <v>107</v>
      </c>
      <c r="B56" s="32">
        <v>0</v>
      </c>
      <c r="C56" s="32">
        <f>C54-B56</f>
        <v>0</v>
      </c>
      <c r="D56" s="33" t="b">
        <v>0</v>
      </c>
      <c r="E56" s="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spans="1:31" ht="15.75" customHeight="1" x14ac:dyDescent="0.25">
      <c r="A57" s="20" t="s">
        <v>108</v>
      </c>
      <c r="B57" s="32">
        <v>0</v>
      </c>
      <c r="C57" s="32">
        <f>C56-B57</f>
        <v>0</v>
      </c>
      <c r="D57" s="33" t="b">
        <v>0</v>
      </c>
      <c r="E57" s="5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1" ht="15.75" customHeight="1" x14ac:dyDescent="0.25">
      <c r="A58" s="80" t="s">
        <v>109</v>
      </c>
      <c r="B58" s="66"/>
      <c r="C58" s="66"/>
      <c r="D58" s="67"/>
      <c r="E58" s="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spans="1:31" ht="15.75" customHeight="1" x14ac:dyDescent="0.25">
      <c r="A59" s="20" t="s">
        <v>110</v>
      </c>
      <c r="B59" s="32">
        <v>0</v>
      </c>
      <c r="C59" s="32">
        <f>C58-B59</f>
        <v>0</v>
      </c>
      <c r="D59" s="33" t="b">
        <v>0</v>
      </c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spans="1:31" ht="15.75" customHeight="1" x14ac:dyDescent="0.25">
      <c r="A60" s="20" t="s">
        <v>111</v>
      </c>
      <c r="B60" s="32">
        <v>0</v>
      </c>
      <c r="C60" s="32">
        <f>C58-B60</f>
        <v>0</v>
      </c>
      <c r="D60" s="33" t="b">
        <v>0</v>
      </c>
      <c r="E60" s="5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 spans="1:31" ht="15.75" customHeight="1" x14ac:dyDescent="0.25">
      <c r="A61" s="20" t="s">
        <v>112</v>
      </c>
      <c r="B61" s="32">
        <v>0</v>
      </c>
      <c r="C61" s="32">
        <f>C60-B61</f>
        <v>0</v>
      </c>
      <c r="D61" s="33" t="b">
        <v>0</v>
      </c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spans="1:31" ht="15.75" customHeight="1" x14ac:dyDescent="0.25">
      <c r="A62" s="20" t="s">
        <v>113</v>
      </c>
      <c r="B62" s="32">
        <v>0</v>
      </c>
      <c r="C62" s="32">
        <f>C60-B62</f>
        <v>0</v>
      </c>
      <c r="D62" s="33" t="b">
        <v>0</v>
      </c>
      <c r="E62" s="5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 spans="1:31" ht="15.75" customHeight="1" x14ac:dyDescent="0.25">
      <c r="A63" s="20" t="s">
        <v>114</v>
      </c>
      <c r="B63" s="32">
        <v>0</v>
      </c>
      <c r="C63" s="32">
        <f>C62-B63</f>
        <v>0</v>
      </c>
      <c r="D63" s="33" t="b">
        <v>0</v>
      </c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spans="1:31" ht="15.75" customHeight="1" x14ac:dyDescent="0.25">
      <c r="A64" s="20" t="s">
        <v>115</v>
      </c>
      <c r="B64" s="32">
        <v>0</v>
      </c>
      <c r="C64" s="32">
        <f>C62-B64</f>
        <v>0</v>
      </c>
      <c r="D64" s="33" t="b">
        <v>0</v>
      </c>
      <c r="E64" s="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 spans="1:31" ht="15.75" customHeight="1" x14ac:dyDescent="0.25">
      <c r="A65" s="20" t="s">
        <v>116</v>
      </c>
      <c r="B65" s="32">
        <v>0</v>
      </c>
      <c r="C65" s="32">
        <f>C64-B65</f>
        <v>0</v>
      </c>
      <c r="D65" s="33" t="b">
        <v>0</v>
      </c>
      <c r="E65" s="5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1:31" ht="15.75" customHeight="1" x14ac:dyDescent="0.25">
      <c r="A66" s="34" t="s">
        <v>117</v>
      </c>
      <c r="B66" s="35">
        <v>0</v>
      </c>
      <c r="C66" s="35">
        <f>C64-B66</f>
        <v>0</v>
      </c>
      <c r="D66" s="36" t="b">
        <v>0</v>
      </c>
      <c r="E66" s="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spans="1:31" ht="15.75" customHeight="1" x14ac:dyDescent="0.25">
      <c r="A67" s="37"/>
      <c r="B67" s="27"/>
      <c r="C67" s="27"/>
      <c r="D67" s="2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spans="1:31" ht="15.75" customHeight="1" x14ac:dyDescent="0.25">
      <c r="A68" s="38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spans="1:31" ht="15.75" customHeight="1" x14ac:dyDescent="0.25">
      <c r="A69" s="38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spans="1:31" ht="15.75" customHeight="1" x14ac:dyDescent="0.25">
      <c r="A70" s="38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spans="1:31" ht="15.75" customHeight="1" x14ac:dyDescent="0.25">
      <c r="A71" s="38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spans="1:31" ht="15.75" customHeight="1" x14ac:dyDescent="0.25">
      <c r="A72" s="3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 spans="1:31" ht="15.75" customHeight="1" x14ac:dyDescent="0.25">
      <c r="A73" s="3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spans="1:31" ht="15.75" customHeight="1" x14ac:dyDescent="0.25">
      <c r="A74" s="3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 spans="1:31" ht="15.75" customHeight="1" x14ac:dyDescent="0.25">
      <c r="A75" s="38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spans="1:31" ht="15.75" customHeight="1" x14ac:dyDescent="0.25">
      <c r="A76" s="38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 spans="1:31" ht="15.75" customHeight="1" x14ac:dyDescent="0.25">
      <c r="A77" s="38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spans="1:31" ht="15.75" customHeight="1" x14ac:dyDescent="0.25">
      <c r="A78" s="38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 spans="1:31" ht="15.75" customHeight="1" x14ac:dyDescent="0.25">
      <c r="A79" s="3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spans="1:31" ht="15.75" customHeight="1" x14ac:dyDescent="0.25">
      <c r="A80" s="38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1:31" ht="15.75" customHeight="1" x14ac:dyDescent="0.25">
      <c r="A81" s="38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spans="1:31" ht="15.75" customHeight="1" x14ac:dyDescent="0.25">
      <c r="A82" s="38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spans="1:31" ht="15.75" customHeight="1" x14ac:dyDescent="0.25">
      <c r="A83" s="38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spans="1:31" ht="15.75" customHeight="1" x14ac:dyDescent="0.25">
      <c r="A84" s="38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 spans="1:31" ht="15.75" customHeight="1" x14ac:dyDescent="0.25">
      <c r="A85" s="38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spans="1:31" ht="15.75" customHeight="1" x14ac:dyDescent="0.25">
      <c r="A86" s="38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 spans="1:31" ht="15.75" customHeight="1" x14ac:dyDescent="0.25">
      <c r="A87" s="38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spans="1:31" ht="15.75" customHeight="1" x14ac:dyDescent="0.25">
      <c r="A88" s="38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 spans="1:31" ht="15.75" customHeight="1" x14ac:dyDescent="0.25"/>
    <row r="90" spans="1:31" ht="15.75" customHeight="1" x14ac:dyDescent="0.25"/>
    <row r="91" spans="1:31" ht="15.75" customHeight="1" x14ac:dyDescent="0.25"/>
    <row r="92" spans="1:31" ht="15.75" customHeight="1" x14ac:dyDescent="0.25"/>
    <row r="93" spans="1:31" ht="15.75" customHeight="1" x14ac:dyDescent="0.25"/>
    <row r="94" spans="1:31" ht="15.75" customHeight="1" x14ac:dyDescent="0.25"/>
    <row r="95" spans="1:31" ht="15.75" customHeight="1" x14ac:dyDescent="0.25"/>
    <row r="96" spans="1:3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</sheetData>
  <mergeCells count="42">
    <mergeCell ref="A52:D52"/>
    <mergeCell ref="A55:D55"/>
    <mergeCell ref="A58:D58"/>
    <mergeCell ref="B19:B23"/>
    <mergeCell ref="C19:C23"/>
    <mergeCell ref="A24:J24"/>
    <mergeCell ref="C25:C27"/>
    <mergeCell ref="G25:G27"/>
    <mergeCell ref="A28:J28"/>
    <mergeCell ref="A33:J33"/>
    <mergeCell ref="A41:J41"/>
    <mergeCell ref="A46:E46"/>
    <mergeCell ref="A48:B48"/>
    <mergeCell ref="A49:D49"/>
    <mergeCell ref="A16:J16"/>
    <mergeCell ref="A18:J18"/>
    <mergeCell ref="E19:E23"/>
    <mergeCell ref="E25:E27"/>
    <mergeCell ref="E29:E32"/>
    <mergeCell ref="G29:G32"/>
    <mergeCell ref="J19:J23"/>
    <mergeCell ref="J25:J27"/>
    <mergeCell ref="J29:J32"/>
    <mergeCell ref="B25:B27"/>
    <mergeCell ref="B29:B32"/>
    <mergeCell ref="C29:C32"/>
    <mergeCell ref="G19:G23"/>
    <mergeCell ref="G11:G12"/>
    <mergeCell ref="J11:J12"/>
    <mergeCell ref="J14:J15"/>
    <mergeCell ref="A1:E1"/>
    <mergeCell ref="L1:Q1"/>
    <mergeCell ref="A3:J3"/>
    <mergeCell ref="A10:J10"/>
    <mergeCell ref="C11:C12"/>
    <mergeCell ref="E11:E12"/>
    <mergeCell ref="A13:J13"/>
    <mergeCell ref="B11:B12"/>
    <mergeCell ref="B14:B15"/>
    <mergeCell ref="C14:C15"/>
    <mergeCell ref="E14:E15"/>
    <mergeCell ref="G14:G15"/>
  </mergeCells>
  <conditionalFormatting sqref="Q4:Q9">
    <cfRule type="colorScale" priority="1">
      <colorScale>
        <cfvo type="min"/>
        <cfvo type="max"/>
        <color rgb="FFFFFFFF"/>
        <color rgb="FF57BB8A"/>
      </colorScale>
    </cfRule>
  </conditionalFormatting>
  <dataValidations count="2">
    <dataValidation type="list" allowBlank="1" showErrorMessage="1" sqref="G4:G9 G11 G14 G17 G25 G29 G34:G40 G42:G45" xr:uid="{00000000-0002-0000-0600-000000000000}">
      <formula1>"Pago,Pendente"</formula1>
    </dataValidation>
    <dataValidation type="list" allowBlank="1" showErrorMessage="1" sqref="Q4:Q8" xr:uid="{00000000-0002-0000-0600-000001000000}">
      <formula1>"Recebido,Pendente"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Junho - 0626</vt:lpstr>
      <vt:lpstr>Julho - 0726</vt:lpstr>
      <vt:lpstr>Agosto - 0826</vt:lpstr>
      <vt:lpstr>Setembro - 0926</vt:lpstr>
      <vt:lpstr>Outubro - 1026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Sabrina Laredo</cp:lastModifiedBy>
  <dcterms:modified xsi:type="dcterms:W3CDTF">2026-05-21T03:05:08Z</dcterms:modified>
</cp:coreProperties>
</file>