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bril - 0426" sheetId="1" r:id="rId5"/>
    <sheet state="visible" name="Maio - 0526" sheetId="2" r:id="rId6"/>
    <sheet state="visible" name="Junho - 0626" sheetId="3" r:id="rId7"/>
    <sheet state="visible" name="Julho - 0726" sheetId="4" r:id="rId8"/>
    <sheet state="visible" name="Agosto - 0826" sheetId="5" r:id="rId9"/>
    <sheet state="visible" name="Setembro - 0926" sheetId="6" r:id="rId10"/>
    <sheet state="visible" name="Outubro - 1026" sheetId="7" r:id="rId11"/>
  </sheets>
  <definedNames/>
  <calcPr/>
</workbook>
</file>

<file path=xl/sharedStrings.xml><?xml version="1.0" encoding="utf-8"?>
<sst xmlns="http://schemas.openxmlformats.org/spreadsheetml/2006/main" count="1955" uniqueCount="257">
  <si>
    <t>CONTROLE FINANCEIRO DE ABRIL</t>
  </si>
  <si>
    <t xml:space="preserve">Total </t>
  </si>
  <si>
    <t>FONTES DE RENDA</t>
  </si>
  <si>
    <t>despesas</t>
  </si>
  <si>
    <t>para</t>
  </si>
  <si>
    <t>tipo</t>
  </si>
  <si>
    <t>pag_parcelas</t>
  </si>
  <si>
    <t>vencimento</t>
  </si>
  <si>
    <t>valor_despesa</t>
  </si>
  <si>
    <t>pago?</t>
  </si>
  <si>
    <t>desconto_do_total</t>
  </si>
  <si>
    <t>subtotal_grupo</t>
  </si>
  <si>
    <t>Fontes</t>
  </si>
  <si>
    <t>Dinheiro</t>
  </si>
  <si>
    <t>Vale Refeição</t>
  </si>
  <si>
    <t>Vale Transporte</t>
  </si>
  <si>
    <t>Data Recebimento</t>
  </si>
  <si>
    <t>recebido?</t>
  </si>
  <si>
    <t>──DESPESAS FIXAS ──</t>
  </si>
  <si>
    <t>Dízimo</t>
  </si>
  <si>
    <t>Marantha</t>
  </si>
  <si>
    <t>pix</t>
  </si>
  <si>
    <t>-</t>
  </si>
  <si>
    <t>Pago</t>
  </si>
  <si>
    <t>Navortech</t>
  </si>
  <si>
    <t>Recebido</t>
  </si>
  <si>
    <t>Aluguel</t>
  </si>
  <si>
    <t>Juveve</t>
  </si>
  <si>
    <t>boleto</t>
  </si>
  <si>
    <t>Faz de Conta</t>
  </si>
  <si>
    <t>Condomínio</t>
  </si>
  <si>
    <t>Trianon</t>
  </si>
  <si>
    <t>DeCon</t>
  </si>
  <si>
    <t>Luz</t>
  </si>
  <si>
    <t>Copel</t>
  </si>
  <si>
    <t>pix ou boleto</t>
  </si>
  <si>
    <t>Daniel Scholze ( 7 de 10 )</t>
  </si>
  <si>
    <t>Gás</t>
  </si>
  <si>
    <t>CopaGas</t>
  </si>
  <si>
    <t>Juliana Laredo</t>
  </si>
  <si>
    <t>Internet</t>
  </si>
  <si>
    <t>Vivo</t>
  </si>
  <si>
    <t>Neomissio</t>
  </si>
  <si>
    <t>── NUBANK · SABRINA ──</t>
  </si>
  <si>
    <t>KALARA CLINICA VETERINARIA LTD</t>
  </si>
  <si>
    <t>Nubank - Sa</t>
  </si>
  <si>
    <t>crédito</t>
  </si>
  <si>
    <t>Dia 08</t>
  </si>
  <si>
    <t>Total</t>
  </si>
  <si>
    <t>Pg *99 Ride</t>
  </si>
  <si>
    <t>DI*99 Ride</t>
  </si>
  <si>
    <t>Jim.Com* Delfacao</t>
  </si>
  <si>
    <t>Mp *Photomacrocom -12 x R$ 286,81</t>
  </si>
  <si>
    <t>1 de 12</t>
  </si>
  <si>
    <t>Pg *Medprev - 3 x R$ 7,87</t>
  </si>
  <si>
    <t>2 de 3</t>
  </si>
  <si>
    <t>Pg *Medprev - 3 x R$ 36,00</t>
  </si>
  <si>
    <t>Pg *Medprev - 3 x R$ 49,50</t>
  </si>
  <si>
    <t>Pg *Medprev - 3 x R$ 55,72</t>
  </si>
  <si>
    <t>Senzaparijoias - 12 x R$ 375,00</t>
  </si>
  <si>
    <t>9 de 12</t>
  </si>
  <si>
    <t>Livelo - 2 x R$ 53,67</t>
  </si>
  <si>
    <t>2 de 2</t>
  </si>
  <si>
    <t>Mp*Vetihome - 12 x R$ 59,02</t>
  </si>
  <si>
    <t>7 de 12</t>
  </si>
  <si>
    <t>la Patisserie Batel - 12 x R$ 40,75</t>
  </si>
  <si>
    <t>6 de 12</t>
  </si>
  <si>
    <t>Mercadolivre*Favor - 9 x R$ 51,14</t>
  </si>
  <si>
    <t>6 de 9</t>
  </si>
  <si>
    <t>--</t>
  </si>
  <si>
    <t>── BRADESCO · SABRINA ──</t>
  </si>
  <si>
    <t>MP PHOTOMACROCOM - 12 x R$ 33,37</t>
  </si>
  <si>
    <t>Bradesco - Sa</t>
  </si>
  <si>
    <t>2 de 12</t>
  </si>
  <si>
    <t>Dia 10</t>
  </si>
  <si>
    <t>MP PHOTOMACROCOM - 12 x R$ 26,00</t>
  </si>
  <si>
    <t>── C6 · SABRINA ──</t>
  </si>
  <si>
    <t>Juross de Mora</t>
  </si>
  <si>
    <t xml:space="preserve">C6 - Sa </t>
  </si>
  <si>
    <t>Encargos</t>
  </si>
  <si>
    <t>OF Rotativo</t>
  </si>
  <si>
    <t>DL*99 RIDE</t>
  </si>
  <si>
    <t>PG *99 RIDE</t>
  </si>
  <si>
    <t>DL*UBERRIDES</t>
  </si>
  <si>
    <t>PG *IHM COMERCIO INTEL</t>
  </si>
  <si>
    <t>UBER UBER *TRIP HELP.U</t>
  </si>
  <si>
    <t>CAFE DA ESQUINA</t>
  </si>
  <si>
    <t>SUBWAY COMERCIO DE ALI</t>
  </si>
  <si>
    <t>POP 13MAR 17H9MIN</t>
  </si>
  <si>
    <t>POP 11MAR 18H17MIN</t>
  </si>
  <si>
    <t>99FOOD*RECEITA de FAM</t>
  </si>
  <si>
    <t>Multa Contratual</t>
  </si>
  <si>
    <t>CWB FARMA</t>
  </si>
  <si>
    <t>PLAY MAISS</t>
  </si>
  <si>
    <t>── NUBANK · DAVI ──</t>
  </si>
  <si>
    <t>Adobe</t>
  </si>
  <si>
    <t>Nubank - Da</t>
  </si>
  <si>
    <t>Dia 13</t>
  </si>
  <si>
    <t>Ritaevagola</t>
  </si>
  <si>
    <t>Guilhermespacki</t>
  </si>
  <si>
    <t>Armazen da Família cp</t>
  </si>
  <si>
    <t>Iris Marialva</t>
  </si>
  <si>
    <t>PagarMe Pagamentos</t>
  </si>
  <si>
    <t>Mercado Grgolin</t>
  </si>
  <si>
    <t>Pizza</t>
  </si>
  <si>
    <t>Coco Bambu</t>
  </si>
  <si>
    <t>Pet Shop</t>
  </si>
  <si>
    <t>Panificadora</t>
  </si>
  <si>
    <t xml:space="preserve">Uber   </t>
  </si>
  <si>
    <t>Uber</t>
  </si>
  <si>
    <t>99Food</t>
  </si>
  <si>
    <t>Condor Cajuru</t>
  </si>
  <si>
    <t>Seguro Camêra - 12 x R$ 25,98</t>
  </si>
  <si>
    <t>Kalara cliniCA VETERINARIA LTD - 5 x R$ 143</t>
  </si>
  <si>
    <t xml:space="preserve">1 de 5 </t>
  </si>
  <si>
    <t>Mp *Photomacrocom -12 x R$ 133,37</t>
  </si>
  <si>
    <t>la Patisserie Batel - 12 x R$ 133,33</t>
  </si>
  <si>
    <t>Hiperzoo - 3 x R$ 56,23</t>
  </si>
  <si>
    <t>Balaroti - 10 x R$ 15,52</t>
  </si>
  <si>
    <t>6 de 10</t>
  </si>
  <si>
    <t>Bruno Doroci - 12 x R$ 57,99</t>
  </si>
  <si>
    <t>Mercadolivre - 12 x R$ 16,62</t>
  </si>
  <si>
    <t>Pg *medprev - 3x R$ 151,84</t>
  </si>
  <si>
    <t>1 de 3</t>
  </si>
  <si>
    <t>Maranataha - 6 x R$ 46,14</t>
  </si>
  <si>
    <t>5 de 6</t>
  </si>
  <si>
    <t>── INTER · DAVI ──</t>
  </si>
  <si>
    <t>Senzaparijoias - 18 x R$ 81,66</t>
  </si>
  <si>
    <t>Inter - Da</t>
  </si>
  <si>
    <t>9 de 18</t>
  </si>
  <si>
    <t>Medprev - R$ 3 x R$ 45,00</t>
  </si>
  <si>
    <t>Mp *Photomacrocom - 12 x R$ 145,49</t>
  </si>
  <si>
    <t>── MERCADO PAGO ──</t>
  </si>
  <si>
    <t>Mercado Pago</t>
  </si>
  <si>
    <t>Dia 06</t>
  </si>
  <si>
    <t>── C&amp;A · SABRINA ──</t>
  </si>
  <si>
    <t>CEA fUNDO  DE investimento</t>
  </si>
  <si>
    <t>C&amp;A - Sa</t>
  </si>
  <si>
    <t>── DÉBITO / PIX ──</t>
  </si>
  <si>
    <t>FACULDADE DE DESIGN DE MODA</t>
  </si>
  <si>
    <t>Senai</t>
  </si>
  <si>
    <t>MEI sasa</t>
  </si>
  <si>
    <t>App Música - familia</t>
  </si>
  <si>
    <t>Spotfy</t>
  </si>
  <si>
    <t>débito automatico</t>
  </si>
  <si>
    <t>Dia 25</t>
  </si>
  <si>
    <t xml:space="preserve">Academia Judô </t>
  </si>
  <si>
    <t>Lemanczuk</t>
  </si>
  <si>
    <t>débito ou pix</t>
  </si>
  <si>
    <t>Uber de volta senai / dias uteis x 14</t>
  </si>
  <si>
    <t>Gatas - Alimentação e Limpenza</t>
  </si>
  <si>
    <t>PetShop</t>
  </si>
  <si>
    <t>Academia Heroes</t>
  </si>
  <si>
    <t>Anuidade Faixa Marrom</t>
  </si>
  <si>
    <t>Pendente</t>
  </si>
  <si>
    <t>── ESTIMATIVAS DO MÊS ──</t>
  </si>
  <si>
    <t>Mercado - Alimentação Semanal / utilitários - 580VR + 130 - 32,27 * 22 dias</t>
  </si>
  <si>
    <t>Caixa</t>
  </si>
  <si>
    <t>Finais de Semana  - Alimentação / Lazer - 600 - 60 * 10 dias</t>
  </si>
  <si>
    <t>Locomoções - Uberes e Buz - 310 -  10 * 31 dias</t>
  </si>
  <si>
    <t>Uber e Urbs</t>
  </si>
  <si>
    <t>Para mês que vem</t>
  </si>
  <si>
    <t>Guardar o que sobra e distribuir pelas caixinhas</t>
  </si>
  <si>
    <t>SALDO DISPONÍVEL</t>
  </si>
  <si>
    <t>Status</t>
  </si>
  <si>
    <t>Investimentos para rena passiva</t>
  </si>
  <si>
    <t>maio</t>
  </si>
  <si>
    <t>Reserva de Aposentadoria</t>
  </si>
  <si>
    <t>junho</t>
  </si>
  <si>
    <t>Casa Própria</t>
  </si>
  <si>
    <t>julho</t>
  </si>
  <si>
    <t>Investimentos para emergencias</t>
  </si>
  <si>
    <t>agosto</t>
  </si>
  <si>
    <t>Gatas</t>
  </si>
  <si>
    <t>Reserva de Emergência</t>
  </si>
  <si>
    <t>Investimentos para experiencias de vida</t>
  </si>
  <si>
    <t>Viagens</t>
  </si>
  <si>
    <t>Carro</t>
  </si>
  <si>
    <t>Investimentos para necessidades</t>
  </si>
  <si>
    <t>Vetuário</t>
  </si>
  <si>
    <t>Computador</t>
  </si>
  <si>
    <t>Celulares</t>
  </si>
  <si>
    <t>Eletrodomésticos</t>
  </si>
  <si>
    <t>Investimentos para presentes</t>
  </si>
  <si>
    <t>De niversário</t>
  </si>
  <si>
    <t>Romanticos</t>
  </si>
  <si>
    <t>De datas especiais</t>
  </si>
  <si>
    <t>CONTROLE FINANCEIRO DE MAIO</t>
  </si>
  <si>
    <t>── DESPESAS FIXAS ──</t>
  </si>
  <si>
    <t>Uber de volta senai</t>
  </si>
  <si>
    <t>Dia 05</t>
  </si>
  <si>
    <t>--- CARTÕES DE CRÉDITO ---</t>
  </si>
  <si>
    <t>quant_falt_paraKitar</t>
  </si>
  <si>
    <t>Fatura coisas geral</t>
  </si>
  <si>
    <t>NUBANK · SABRINA</t>
  </si>
  <si>
    <t>CRÉD</t>
  </si>
  <si>
    <t>3 de 3</t>
  </si>
  <si>
    <t>10 de 12</t>
  </si>
  <si>
    <t>8 de 12</t>
  </si>
  <si>
    <t>7 de 9</t>
  </si>
  <si>
    <t>3 de 12</t>
  </si>
  <si>
    <t>nu - Da</t>
  </si>
  <si>
    <t>Crédito</t>
  </si>
  <si>
    <t>Dia 12</t>
  </si>
  <si>
    <t>VENDINHA 24H</t>
  </si>
  <si>
    <t>JOSE CARLOS BORGES DE OLIVEIRA</t>
  </si>
  <si>
    <t>Pagar Me Pagamentos</t>
  </si>
  <si>
    <t>DAVI PEREI SCHOLZE</t>
  </si>
  <si>
    <t xml:space="preserve">2 de 5 </t>
  </si>
  <si>
    <t>7 de 10</t>
  </si>
  <si>
    <t>6 de 6</t>
  </si>
  <si>
    <t>Dia 15</t>
  </si>
  <si>
    <t>10 de 18</t>
  </si>
  <si>
    <t>Empréstimo pessoal - 12x R$ 68, 42</t>
  </si>
  <si>
    <t>Empréstimo pessoal - 12x R$ 40,68</t>
  </si>
  <si>
    <t>Empréstimo pessoal - 12x R$ 27,12</t>
  </si>
  <si>
    <t>Transferência via Pix a Davi... - 2x R$ 9,10</t>
  </si>
  <si>
    <t>1 de 2</t>
  </si>
  <si>
    <t>Transferência via Pix a Davi... - 3x R$ 9,62</t>
  </si>
  <si>
    <t>Transferência via Pix a Davi... - 4x R$ 7,56</t>
  </si>
  <si>
    <t>1 de 4</t>
  </si>
  <si>
    <t>Transferência via Pix a Davi... - 3x R$ 6,68</t>
  </si>
  <si>
    <t>Transferência via Pix a Davi... - 3x R$ 26,05</t>
  </si>
  <si>
    <t>Transferência via Pix a Davi... - 1x R$ 17,08</t>
  </si>
  <si>
    <t>1 de 1</t>
  </si>
  <si>
    <t>Empréstimo pessoal - 12x R$ 57,86</t>
  </si>
  <si>
    <t>── DESPESAS PARA O MÊS ──</t>
  </si>
  <si>
    <t>── FIXAS ──</t>
  </si>
  <si>
    <t>11 de 12</t>
  </si>
  <si>
    <t>8 de 9</t>
  </si>
  <si>
    <t>4 de 12</t>
  </si>
  <si>
    <t>Geral</t>
  </si>
  <si>
    <t xml:space="preserve">3 de 5 </t>
  </si>
  <si>
    <t>8 de 10</t>
  </si>
  <si>
    <t>11 de 18</t>
  </si>
  <si>
    <t xml:space="preserve"> 3 de 12</t>
  </si>
  <si>
    <t>2 de 4</t>
  </si>
  <si>
    <t>2 de 1</t>
  </si>
  <si>
    <t>CONTROLE FINANCEIRO DE JULHO</t>
  </si>
  <si>
    <t>ss</t>
  </si>
  <si>
    <t>Daniel Scholze ( 10 de 10 )</t>
  </si>
  <si>
    <t>9 de 9</t>
  </si>
  <si>
    <t xml:space="preserve">4 de 5 </t>
  </si>
  <si>
    <t>9 de 10</t>
  </si>
  <si>
    <t>12 de 18</t>
  </si>
  <si>
    <t>3 de 4</t>
  </si>
  <si>
    <t>CONTROLE FINANCEIRO DE AGOSTO</t>
  </si>
  <si>
    <t>5 de 12</t>
  </si>
  <si>
    <t xml:space="preserve">5 de 5 </t>
  </si>
  <si>
    <t>10 de 10</t>
  </si>
  <si>
    <t>13 de 18</t>
  </si>
  <si>
    <t>4 de 4</t>
  </si>
  <si>
    <t>CONTROLE FINANCEIRO DE SETEMBRO</t>
  </si>
  <si>
    <t>12 de 12</t>
  </si>
  <si>
    <t>14 de 18</t>
  </si>
  <si>
    <t>CONTROLE FINANCEIRO DE OUTUBRO</t>
  </si>
  <si>
    <t>15 de 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</si>
</sst>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R$ #,##0.00"/>
    <numFmt numFmtId="165" formatCode="[$R$ -416]#,##0.00"/>
  </numFmts>
  <fonts count="35">
    <font>
      <sz val="10.0"/>
      <color rgb="FF000000"/>
      <name val="Arial"/>
      <scheme val="minor"/>
    </font>
    <font>
      <b/>
      <sz val="11.0"/>
      <color rgb="FFE8E8E8"/>
      <name val="Arial"/>
    </font>
    <font/>
    <font>
      <b/>
      <sz val="11.0"/>
      <color rgb="FFE8E8E8"/>
      <name val="Calibri"/>
    </font>
    <font>
      <b/>
      <i/>
      <sz val="11.0"/>
      <color rgb="FFE8E8E8"/>
      <name val="Calibri"/>
    </font>
    <font>
      <b/>
      <sz val="11.0"/>
      <color rgb="FF4285F4"/>
      <name val="Calibri"/>
    </font>
    <font>
      <sz val="10.0"/>
      <color rgb="FFE8E8E8"/>
      <name val="Arial"/>
    </font>
    <font>
      <b/>
      <sz val="11.0"/>
      <color rgb="FF64B5F6"/>
      <name val="Calibri"/>
    </font>
    <font>
      <b/>
      <sz val="10.0"/>
      <color rgb="FFE8E8E8"/>
      <name val="Calibri"/>
    </font>
    <font>
      <sz val="10.0"/>
      <color rgb="FF000000"/>
      <name val="Arial"/>
    </font>
    <font>
      <sz val="10.0"/>
      <color rgb="FFE8E8E8"/>
      <name val="Calibri"/>
    </font>
    <font>
      <b/>
      <sz val="10.0"/>
      <color rgb="FF81C784"/>
      <name val="Calibri"/>
    </font>
    <font>
      <b/>
      <sz val="10.0"/>
      <color rgb="FF64B5F6"/>
      <name val="Arial"/>
    </font>
    <font>
      <u/>
      <sz val="10.0"/>
      <color rgb="FFE8E8E8"/>
      <name val="Calibri"/>
    </font>
    <font>
      <b/>
      <sz val="11.0"/>
      <color theme="4"/>
      <name val="Calibri"/>
    </font>
    <font>
      <b/>
      <sz val="10.0"/>
      <color rgb="FF4285F4"/>
      <name val="Calibri"/>
    </font>
    <font>
      <b/>
      <sz val="12.0"/>
      <color rgb="FF81C784"/>
      <name val="Calibri"/>
    </font>
    <font>
      <b/>
      <sz val="11.0"/>
      <color rgb="FF81C784"/>
      <name val="Calibri"/>
    </font>
    <font>
      <i/>
      <sz val="10.0"/>
      <color rgb="FFA0A0A0"/>
      <name val="Calibri"/>
    </font>
    <font>
      <color theme="1"/>
      <name val="Arial"/>
      <scheme val="minor"/>
    </font>
    <font>
      <b/>
      <sz val="14.0"/>
      <color rgb="FFE8E8E8"/>
      <name val="Arial"/>
    </font>
    <font>
      <b/>
      <sz val="14.0"/>
      <color rgb="FFE8E8E8"/>
      <name val="Calibri"/>
    </font>
    <font>
      <b/>
      <sz val="14.0"/>
      <color theme="4"/>
      <name val="Calibri"/>
    </font>
    <font>
      <sz val="14.0"/>
      <color rgb="FFE8E8E8"/>
      <name val="Arial"/>
    </font>
    <font>
      <b/>
      <sz val="14.0"/>
      <color rgb="FF64B5F6"/>
      <name val="Calibri"/>
    </font>
    <font>
      <b/>
      <sz val="20.0"/>
      <color rgb="FF64B5F6"/>
      <name val="Calibri"/>
    </font>
    <font>
      <sz val="14.0"/>
      <color rgb="FFE8E8E8"/>
      <name val="Calibri"/>
    </font>
    <font>
      <b/>
      <sz val="14.0"/>
      <color rgb="FF81C784"/>
      <name val="Calibri"/>
    </font>
    <font>
      <b/>
      <sz val="17.0"/>
      <color rgb="FF64B5F6"/>
      <name val="Calibri"/>
    </font>
    <font>
      <b/>
      <sz val="14.0"/>
      <color rgb="FF64B5F6"/>
      <name val="Arial"/>
    </font>
    <font>
      <sz val="14.0"/>
      <color theme="1"/>
      <name val="Arial"/>
    </font>
    <font>
      <i/>
      <sz val="14.0"/>
      <color rgb="FFA0A0A0"/>
      <name val="Calibri"/>
    </font>
    <font>
      <color rgb="FFE8E8E8"/>
      <name val="Calibri"/>
    </font>
    <font>
      <color theme="1"/>
      <name val="Arial"/>
    </font>
    <font>
      <b/>
      <sz val="10.0"/>
      <color theme="4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2A2A2A"/>
        <bgColor rgb="FF2A2A2A"/>
      </patternFill>
    </fill>
    <fill>
      <patternFill patternType="solid">
        <fgColor rgb="FFD0E0E3"/>
        <bgColor rgb="FFD0E0E3"/>
      </patternFill>
    </fill>
    <fill>
      <patternFill patternType="solid">
        <fgColor rgb="FF1E1E1E"/>
        <bgColor rgb="FF1E1E1E"/>
      </patternFill>
    </fill>
    <fill>
      <patternFill patternType="solid">
        <fgColor rgb="FF1A3A4A"/>
        <bgColor rgb="FF1A3A4A"/>
      </patternFill>
    </fill>
    <fill>
      <patternFill patternType="solid">
        <fgColor rgb="FF4A1A1A"/>
        <bgColor rgb="FF4A1A1A"/>
      </patternFill>
    </fill>
    <fill>
      <patternFill patternType="solid">
        <fgColor rgb="FF1B3A2A"/>
        <bgColor rgb="FF1B3A2A"/>
      </patternFill>
    </fill>
    <fill>
      <patternFill patternType="solid">
        <fgColor rgb="FF6AA84F"/>
        <bgColor rgb="FF6AA84F"/>
      </patternFill>
    </fill>
    <fill>
      <patternFill patternType="solid">
        <fgColor theme="7"/>
        <bgColor theme="7"/>
      </patternFill>
    </fill>
  </fills>
  <borders count="30">
    <border/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2" fontId="4" numFmtId="164" xfId="0" applyAlignment="1" applyBorder="1" applyFont="1" applyNumberFormat="1">
      <alignment horizontal="center" vertical="center"/>
    </xf>
    <xf borderId="6" fillId="3" fontId="5" numFmtId="164" xfId="0" applyAlignment="1" applyBorder="1" applyFill="1" applyFont="1" applyNumberFormat="1">
      <alignment horizontal="center" readingOrder="0" vertical="center"/>
    </xf>
    <xf borderId="7" fillId="2" fontId="4" numFmtId="164" xfId="0" applyAlignment="1" applyBorder="1" applyFont="1" applyNumberFormat="1">
      <alignment horizontal="center" vertical="center"/>
    </xf>
    <xf borderId="8" fillId="4" fontId="6" numFmtId="0" xfId="0" applyAlignment="1" applyBorder="1" applyFill="1" applyFont="1">
      <alignment horizontal="center" vertical="center"/>
    </xf>
    <xf borderId="1" fillId="5" fontId="7" numFmtId="0" xfId="0" applyAlignment="1" applyBorder="1" applyFill="1" applyFont="1">
      <alignment horizontal="center" vertical="center"/>
    </xf>
    <xf borderId="7" fillId="0" fontId="2" numFmtId="0" xfId="0" applyBorder="1" applyFont="1"/>
    <xf borderId="9" fillId="4" fontId="6" numFmtId="0" xfId="0" applyAlignment="1" applyBorder="1" applyFont="1">
      <alignment horizontal="center" vertical="center"/>
    </xf>
    <xf borderId="6" fillId="4" fontId="6" numFmtId="0" xfId="0" applyAlignment="1" applyBorder="1" applyFont="1">
      <alignment horizontal="center" vertical="center"/>
    </xf>
    <xf borderId="10" fillId="2" fontId="8" numFmtId="0" xfId="0" applyAlignment="1" applyBorder="1" applyFont="1">
      <alignment horizontal="center" vertical="center"/>
    </xf>
    <xf borderId="6" fillId="2" fontId="8" numFmtId="0" xfId="0" applyAlignment="1" applyBorder="1" applyFont="1">
      <alignment horizontal="center" vertical="center"/>
    </xf>
    <xf borderId="11" fillId="2" fontId="8" numFmtId="0" xfId="0" applyAlignment="1" applyBorder="1" applyFont="1">
      <alignment horizontal="center" vertical="center"/>
    </xf>
    <xf borderId="9" fillId="4" fontId="9" numFmtId="0" xfId="0" applyBorder="1" applyFont="1"/>
    <xf borderId="6" fillId="4" fontId="9" numFmtId="0" xfId="0" applyBorder="1" applyFont="1"/>
    <xf borderId="12" fillId="5" fontId="7" numFmtId="0" xfId="0" applyAlignment="1" applyBorder="1" applyFont="1">
      <alignment horizontal="left" readingOrder="0" vertical="center"/>
    </xf>
    <xf borderId="8" fillId="0" fontId="2" numFmtId="0" xfId="0" applyBorder="1" applyFont="1"/>
    <xf borderId="13" fillId="0" fontId="2" numFmtId="0" xfId="0" applyBorder="1" applyFont="1"/>
    <xf borderId="10" fillId="2" fontId="8" numFmtId="0" xfId="0" applyAlignment="1" applyBorder="1" applyFont="1">
      <alignment horizontal="center"/>
    </xf>
    <xf borderId="6" fillId="2" fontId="8" numFmtId="0" xfId="0" applyAlignment="1" applyBorder="1" applyFont="1">
      <alignment horizontal="center"/>
    </xf>
    <xf borderId="14" fillId="2" fontId="6" numFmtId="0" xfId="0" applyAlignment="1" applyBorder="1" applyFont="1">
      <alignment horizontal="center" vertical="center"/>
    </xf>
    <xf borderId="10" fillId="6" fontId="10" numFmtId="0" xfId="0" applyAlignment="1" applyBorder="1" applyFill="1" applyFont="1">
      <alignment horizontal="left" vertical="center"/>
    </xf>
    <xf borderId="6" fillId="6" fontId="10" numFmtId="0" xfId="0" applyAlignment="1" applyBorder="1" applyFont="1">
      <alignment horizontal="center" vertical="center"/>
    </xf>
    <xf borderId="6" fillId="6" fontId="10" numFmtId="164" xfId="0" applyAlignment="1" applyBorder="1" applyFont="1" applyNumberFormat="1">
      <alignment horizontal="right" vertical="center"/>
    </xf>
    <xf borderId="6" fillId="6" fontId="10" numFmtId="165" xfId="0" applyAlignment="1" applyBorder="1" applyFont="1" applyNumberFormat="1">
      <alignment horizontal="center" readingOrder="0" vertical="center"/>
    </xf>
    <xf borderId="6" fillId="6" fontId="10" numFmtId="164" xfId="0" applyAlignment="1" applyBorder="1" applyFont="1" applyNumberFormat="1">
      <alignment horizontal="right" readingOrder="0" vertical="center"/>
    </xf>
    <xf borderId="11" fillId="2" fontId="6" numFmtId="0" xfId="0" applyAlignment="1" applyBorder="1" applyFont="1">
      <alignment horizontal="center" vertical="center"/>
    </xf>
    <xf borderId="10" fillId="2" fontId="10" numFmtId="0" xfId="0" applyAlignment="1" applyBorder="1" applyFont="1">
      <alignment horizontal="left" vertical="center"/>
    </xf>
    <xf borderId="6" fillId="2" fontId="10" numFmtId="164" xfId="0" applyAlignment="1" applyBorder="1" applyFont="1" applyNumberFormat="1">
      <alignment horizontal="right" vertical="center"/>
    </xf>
    <xf borderId="6" fillId="2" fontId="10" numFmtId="0" xfId="0" applyAlignment="1" applyBorder="1" applyFont="1">
      <alignment horizontal="left" vertical="center"/>
    </xf>
    <xf borderId="14" fillId="2" fontId="6" numFmtId="0" xfId="0" applyAlignment="1" applyBorder="1" applyFont="1">
      <alignment horizontal="center" readingOrder="0" vertical="center"/>
    </xf>
    <xf borderId="6" fillId="2" fontId="10" numFmtId="165" xfId="0" applyAlignment="1" applyBorder="1" applyFont="1" applyNumberFormat="1">
      <alignment horizontal="right" vertical="center"/>
    </xf>
    <xf borderId="10" fillId="2" fontId="11" numFmtId="0" xfId="0" applyAlignment="1" applyBorder="1" applyFont="1">
      <alignment horizontal="center" vertical="center"/>
    </xf>
    <xf borderId="6" fillId="2" fontId="11" numFmtId="165" xfId="0" applyAlignment="1" applyBorder="1" applyFont="1" applyNumberFormat="1">
      <alignment horizontal="center" vertical="center"/>
    </xf>
    <xf borderId="6" fillId="2" fontId="11" numFmtId="0" xfId="0" applyAlignment="1" applyBorder="1" applyFont="1">
      <alignment horizontal="center" vertical="center"/>
    </xf>
    <xf borderId="15" fillId="6" fontId="10" numFmtId="0" xfId="0" applyAlignment="1" applyBorder="1" applyFont="1">
      <alignment horizontal="center" vertical="center"/>
    </xf>
    <xf borderId="15" fillId="6" fontId="10" numFmtId="0" xfId="0" applyAlignment="1" applyBorder="1" applyFont="1">
      <alignment horizontal="center" readingOrder="0" vertical="center"/>
    </xf>
    <xf borderId="15" fillId="6" fontId="10" numFmtId="165" xfId="0" applyAlignment="1" applyBorder="1" applyFont="1" applyNumberFormat="1">
      <alignment horizontal="center" readingOrder="0" vertical="center"/>
    </xf>
    <xf borderId="16" fillId="2" fontId="12" numFmtId="164" xfId="0" applyAlignment="1" applyBorder="1" applyFont="1" applyNumberFormat="1">
      <alignment horizontal="center" vertical="center"/>
    </xf>
    <xf borderId="17" fillId="7" fontId="11" numFmtId="0" xfId="0" applyAlignment="1" applyBorder="1" applyFill="1" applyFont="1">
      <alignment horizontal="left" vertical="center"/>
    </xf>
    <xf borderId="18" fillId="7" fontId="11" numFmtId="164" xfId="0" applyAlignment="1" applyBorder="1" applyFont="1" applyNumberFormat="1">
      <alignment horizontal="right" vertical="center"/>
    </xf>
    <xf borderId="18" fillId="7" fontId="11" numFmtId="0" xfId="0" applyAlignment="1" applyBorder="1" applyFont="1">
      <alignment horizontal="right" vertical="center"/>
    </xf>
    <xf borderId="19" fillId="0" fontId="2" numFmtId="0" xfId="0" applyBorder="1" applyFont="1"/>
    <xf borderId="20" fillId="0" fontId="2" numFmtId="0" xfId="0" applyBorder="1" applyFont="1"/>
    <xf borderId="21" fillId="4" fontId="6" numFmtId="0" xfId="0" applyAlignment="1" applyBorder="1" applyFont="1">
      <alignment horizontal="center" vertical="center"/>
    </xf>
    <xf borderId="21" fillId="4" fontId="6" numFmtId="165" xfId="0" applyAlignment="1" applyBorder="1" applyFont="1" applyNumberFormat="1">
      <alignment horizontal="center" vertical="center"/>
    </xf>
    <xf borderId="10" fillId="6" fontId="13" numFmtId="0" xfId="0" applyAlignment="1" applyBorder="1" applyFont="1">
      <alignment horizontal="left" vertical="center"/>
    </xf>
    <xf borderId="6" fillId="3" fontId="14" numFmtId="164" xfId="0" applyAlignment="1" applyBorder="1" applyFont="1" applyNumberFormat="1">
      <alignment horizontal="center" vertical="center"/>
    </xf>
    <xf borderId="6" fillId="4" fontId="6" numFmtId="0" xfId="0" applyAlignment="1" applyBorder="1" applyFont="1">
      <alignment horizontal="center" readingOrder="0" vertical="center"/>
    </xf>
    <xf borderId="21" fillId="0" fontId="2" numFmtId="0" xfId="0" applyBorder="1" applyFont="1"/>
    <xf borderId="22" fillId="0" fontId="2" numFmtId="0" xfId="0" applyBorder="1" applyFont="1"/>
    <xf borderId="12" fillId="5" fontId="7" numFmtId="0" xfId="0" applyAlignment="1" applyBorder="1" applyFont="1">
      <alignment horizontal="left" vertical="center"/>
    </xf>
    <xf borderId="16" fillId="2" fontId="7" numFmtId="164" xfId="0" applyAlignment="1" applyBorder="1" applyFont="1" applyNumberFormat="1">
      <alignment horizontal="center" vertical="center"/>
    </xf>
    <xf borderId="6" fillId="6" fontId="10" numFmtId="165" xfId="0" applyAlignment="1" applyBorder="1" applyFont="1" applyNumberFormat="1">
      <alignment horizontal="right" vertical="center"/>
    </xf>
    <xf borderId="6" fillId="6" fontId="10" numFmtId="165" xfId="0" applyAlignment="1" applyBorder="1" applyFont="1" applyNumberFormat="1">
      <alignment horizontal="right" readingOrder="0" vertical="center"/>
    </xf>
    <xf borderId="16" fillId="2" fontId="7" numFmtId="165" xfId="0" applyAlignment="1" applyBorder="1" applyFont="1" applyNumberFormat="1">
      <alignment horizontal="center" vertical="center"/>
    </xf>
    <xf borderId="10" fillId="6" fontId="10" numFmtId="0" xfId="0" applyAlignment="1" applyBorder="1" applyFont="1">
      <alignment horizontal="left" readingOrder="0" vertical="center"/>
    </xf>
    <xf borderId="6" fillId="6" fontId="10" numFmtId="0" xfId="0" applyAlignment="1" applyBorder="1" applyFont="1">
      <alignment horizontal="center" readingOrder="0" vertical="center"/>
    </xf>
    <xf borderId="11" fillId="2" fontId="12" numFmtId="164" xfId="0" applyAlignment="1" applyBorder="1" applyFont="1" applyNumberFormat="1">
      <alignment horizontal="center" vertical="center"/>
    </xf>
    <xf borderId="6" fillId="6" fontId="10" numFmtId="165" xfId="0" applyAlignment="1" applyBorder="1" applyFont="1" applyNumberFormat="1">
      <alignment horizontal="center" vertical="center"/>
    </xf>
    <xf borderId="23" fillId="2" fontId="10" numFmtId="0" xfId="0" applyAlignment="1" applyBorder="1" applyFont="1">
      <alignment horizontal="center" vertical="center"/>
    </xf>
    <xf borderId="24" fillId="0" fontId="2" numFmtId="0" xfId="0" applyBorder="1" applyFont="1"/>
    <xf borderId="25" fillId="0" fontId="2" numFmtId="0" xfId="0" applyBorder="1" applyFont="1"/>
    <xf borderId="6" fillId="3" fontId="15" numFmtId="164" xfId="0" applyAlignment="1" applyBorder="1" applyFont="1" applyNumberFormat="1">
      <alignment horizontal="center" readingOrder="0" vertical="center"/>
    </xf>
    <xf borderId="26" fillId="7" fontId="16" numFmtId="0" xfId="0" applyAlignment="1" applyBorder="1" applyFont="1">
      <alignment horizontal="center" vertical="center"/>
    </xf>
    <xf borderId="9" fillId="0" fontId="2" numFmtId="0" xfId="0" applyBorder="1" applyFont="1"/>
    <xf borderId="6" fillId="7" fontId="17" numFmtId="164" xfId="0" applyAlignment="1" applyBorder="1" applyFont="1" applyNumberFormat="1">
      <alignment horizontal="center" vertical="center"/>
    </xf>
    <xf borderId="6" fillId="7" fontId="11" numFmtId="0" xfId="0" applyAlignment="1" applyBorder="1" applyFont="1">
      <alignment horizontal="center" readingOrder="0" vertical="center"/>
    </xf>
    <xf borderId="6" fillId="4" fontId="6" numFmtId="164" xfId="0" applyAlignment="1" applyBorder="1" applyFont="1" applyNumberFormat="1">
      <alignment horizontal="center" vertical="center"/>
    </xf>
    <xf borderId="12" fillId="5" fontId="18" numFmtId="0" xfId="0" applyAlignment="1" applyBorder="1" applyFont="1">
      <alignment horizontal="left" readingOrder="0" vertical="center"/>
    </xf>
    <xf borderId="6" fillId="2" fontId="10" numFmtId="164" xfId="0" applyAlignment="1" applyBorder="1" applyFont="1" applyNumberFormat="1">
      <alignment horizontal="center" vertical="center"/>
    </xf>
    <xf borderId="11" fillId="2" fontId="10" numFmtId="0" xfId="0" applyAlignment="1" applyBorder="1" applyFont="1">
      <alignment horizontal="center" vertical="center"/>
    </xf>
    <xf borderId="9" fillId="4" fontId="6" numFmtId="164" xfId="0" applyAlignment="1" applyBorder="1" applyFont="1" applyNumberFormat="1">
      <alignment horizontal="center" vertical="center"/>
    </xf>
    <xf borderId="12" fillId="5" fontId="18" numFmtId="0" xfId="0" applyAlignment="1" applyBorder="1" applyFont="1">
      <alignment horizontal="left" vertical="center"/>
    </xf>
    <xf borderId="9" fillId="4" fontId="6" numFmtId="0" xfId="0" applyAlignment="1" applyBorder="1" applyFont="1">
      <alignment horizontal="center" readingOrder="0" vertical="center"/>
    </xf>
    <xf borderId="17" fillId="2" fontId="10" numFmtId="0" xfId="0" applyAlignment="1" applyBorder="1" applyFont="1">
      <alignment horizontal="left" vertical="center"/>
    </xf>
    <xf borderId="18" fillId="2" fontId="10" numFmtId="164" xfId="0" applyAlignment="1" applyBorder="1" applyFont="1" applyNumberFormat="1">
      <alignment horizontal="center" vertical="center"/>
    </xf>
    <xf borderId="14" fillId="2" fontId="10" numFmtId="0" xfId="0" applyAlignment="1" applyBorder="1" applyFont="1">
      <alignment horizontal="center" vertical="center"/>
    </xf>
    <xf borderId="21" fillId="4" fontId="6" numFmtId="0" xfId="0" applyAlignment="1" applyBorder="1" applyFont="1">
      <alignment horizontal="left" vertical="center"/>
    </xf>
    <xf borderId="6" fillId="4" fontId="6" numFmtId="0" xfId="0" applyAlignment="1" applyBorder="1" applyFont="1">
      <alignment horizontal="left" vertical="center"/>
    </xf>
    <xf borderId="6" fillId="0" fontId="9" numFmtId="0" xfId="0" applyBorder="1" applyFont="1"/>
    <xf borderId="6" fillId="0" fontId="9" numFmtId="0" xfId="0" applyAlignment="1" applyBorder="1" applyFont="1">
      <alignment horizontal="center"/>
    </xf>
    <xf borderId="6" fillId="0" fontId="19" numFmtId="0" xfId="0" applyBorder="1" applyFont="1"/>
    <xf borderId="1" fillId="2" fontId="20" numFmtId="0" xfId="0" applyAlignment="1" applyBorder="1" applyFont="1">
      <alignment horizontal="center" readingOrder="0" vertical="center"/>
    </xf>
    <xf borderId="4" fillId="2" fontId="21" numFmtId="0" xfId="0" applyAlignment="1" applyBorder="1" applyFont="1">
      <alignment horizontal="center" readingOrder="0" vertical="center"/>
    </xf>
    <xf borderId="6" fillId="3" fontId="22" numFmtId="164" xfId="0" applyAlignment="1" applyBorder="1" applyFont="1" applyNumberFormat="1">
      <alignment horizontal="center" vertical="center"/>
    </xf>
    <xf borderId="8" fillId="4" fontId="23" numFmtId="0" xfId="0" applyAlignment="1" applyBorder="1" applyFont="1">
      <alignment horizontal="center" vertical="center"/>
    </xf>
    <xf borderId="1" fillId="5" fontId="24" numFmtId="0" xfId="0" applyAlignment="1" applyBorder="1" applyFont="1">
      <alignment horizontal="center" vertical="center"/>
    </xf>
    <xf borderId="9" fillId="4" fontId="23" numFmtId="0" xfId="0" applyAlignment="1" applyBorder="1" applyFont="1">
      <alignment horizontal="center" vertical="center"/>
    </xf>
    <xf borderId="6" fillId="4" fontId="23" numFmtId="0" xfId="0" applyAlignment="1" applyBorder="1" applyFont="1">
      <alignment horizontal="center" vertical="center"/>
    </xf>
    <xf borderId="12" fillId="5" fontId="25" numFmtId="0" xfId="0" applyAlignment="1" applyBorder="1" applyFont="1">
      <alignment horizontal="center" readingOrder="0" vertical="center"/>
    </xf>
    <xf borderId="10" fillId="2" fontId="21" numFmtId="0" xfId="0" applyAlignment="1" applyBorder="1" applyFont="1">
      <alignment horizontal="center"/>
    </xf>
    <xf borderId="6" fillId="2" fontId="21" numFmtId="0" xfId="0" applyAlignment="1" applyBorder="1" applyFont="1">
      <alignment horizontal="center"/>
    </xf>
    <xf borderId="14" fillId="2" fontId="23" numFmtId="0" xfId="0" applyAlignment="1" applyBorder="1" applyFont="1">
      <alignment horizontal="center" vertical="center"/>
    </xf>
    <xf borderId="10" fillId="2" fontId="21" numFmtId="0" xfId="0" applyAlignment="1" applyBorder="1" applyFont="1">
      <alignment horizontal="center" vertical="center"/>
    </xf>
    <xf borderId="6" fillId="2" fontId="21" numFmtId="0" xfId="0" applyAlignment="1" applyBorder="1" applyFont="1">
      <alignment horizontal="center" vertical="center"/>
    </xf>
    <xf borderId="10" fillId="2" fontId="26" numFmtId="0" xfId="0" applyAlignment="1" applyBorder="1" applyFont="1">
      <alignment horizontal="left" vertical="center"/>
    </xf>
    <xf borderId="6" fillId="2" fontId="26" numFmtId="164" xfId="0" applyAlignment="1" applyBorder="1" applyFont="1" applyNumberFormat="1">
      <alignment horizontal="right" vertical="center"/>
    </xf>
    <xf borderId="6" fillId="2" fontId="26" numFmtId="0" xfId="0" applyAlignment="1" applyBorder="1" applyFont="1">
      <alignment horizontal="left" vertical="center"/>
    </xf>
    <xf borderId="14" fillId="2" fontId="23" numFmtId="0" xfId="0" applyAlignment="1" applyBorder="1" applyFont="1">
      <alignment horizontal="center" readingOrder="0" vertical="center"/>
    </xf>
    <xf borderId="10" fillId="6" fontId="26" numFmtId="0" xfId="0" applyAlignment="1" applyBorder="1" applyFont="1">
      <alignment horizontal="left" vertical="center"/>
    </xf>
    <xf borderId="6" fillId="6" fontId="26" numFmtId="0" xfId="0" applyAlignment="1" applyBorder="1" applyFont="1">
      <alignment horizontal="center" vertical="center"/>
    </xf>
    <xf borderId="6" fillId="6" fontId="26" numFmtId="164" xfId="0" applyAlignment="1" applyBorder="1" applyFont="1" applyNumberFormat="1">
      <alignment horizontal="right" readingOrder="0" vertical="center"/>
    </xf>
    <xf borderId="6" fillId="6" fontId="26" numFmtId="165" xfId="0" applyAlignment="1" applyBorder="1" applyFont="1" applyNumberFormat="1">
      <alignment horizontal="center" readingOrder="0" vertical="center"/>
    </xf>
    <xf borderId="6" fillId="6" fontId="26" numFmtId="164" xfId="0" applyAlignment="1" applyBorder="1" applyFont="1" applyNumberFormat="1">
      <alignment horizontal="right" vertical="center"/>
    </xf>
    <xf borderId="6" fillId="2" fontId="26" numFmtId="165" xfId="0" applyAlignment="1" applyBorder="1" applyFont="1" applyNumberFormat="1">
      <alignment horizontal="right" vertical="center"/>
    </xf>
    <xf borderId="6" fillId="2" fontId="26" numFmtId="164" xfId="0" applyAlignment="1" applyBorder="1" applyFont="1" applyNumberFormat="1">
      <alignment horizontal="right" readingOrder="0" vertical="center"/>
    </xf>
    <xf borderId="6" fillId="6" fontId="26" numFmtId="0" xfId="0" applyAlignment="1" applyBorder="1" applyFont="1">
      <alignment horizontal="center" readingOrder="0" vertical="center"/>
    </xf>
    <xf borderId="10" fillId="2" fontId="27" numFmtId="0" xfId="0" applyAlignment="1" applyBorder="1" applyFont="1">
      <alignment horizontal="center" vertical="center"/>
    </xf>
    <xf borderId="6" fillId="2" fontId="27" numFmtId="165" xfId="0" applyAlignment="1" applyBorder="1" applyFont="1" applyNumberFormat="1">
      <alignment horizontal="center" vertical="center"/>
    </xf>
    <xf borderId="6" fillId="2" fontId="27" numFmtId="0" xfId="0" applyAlignment="1" applyBorder="1" applyFont="1">
      <alignment horizontal="center" vertical="center"/>
    </xf>
    <xf borderId="10" fillId="6" fontId="26" numFmtId="0" xfId="0" applyAlignment="1" applyBorder="1" applyFont="1">
      <alignment horizontal="left" readingOrder="0" vertical="center"/>
    </xf>
    <xf borderId="6" fillId="6" fontId="26" numFmtId="165" xfId="0" applyAlignment="1" applyBorder="1" applyFont="1" applyNumberFormat="1">
      <alignment horizontal="center" vertical="center"/>
    </xf>
    <xf borderId="6" fillId="6" fontId="26" numFmtId="165" xfId="0" applyAlignment="1" applyBorder="1" applyFont="1" applyNumberFormat="1">
      <alignment horizontal="right" readingOrder="0" vertical="center"/>
    </xf>
    <xf borderId="6" fillId="6" fontId="26" numFmtId="165" xfId="0" applyAlignment="1" applyBorder="1" applyFont="1" applyNumberFormat="1">
      <alignment horizontal="right" vertical="center"/>
    </xf>
    <xf borderId="8" fillId="5" fontId="25" numFmtId="0" xfId="0" applyAlignment="1" applyBorder="1" applyFont="1">
      <alignment horizontal="center" readingOrder="0" vertical="center"/>
    </xf>
    <xf borderId="6" fillId="2" fontId="21" numFmtId="0" xfId="0" applyAlignment="1" applyBorder="1" applyFont="1">
      <alignment horizontal="center" readingOrder="0" vertical="center"/>
    </xf>
    <xf borderId="26" fillId="2" fontId="21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vertical="center"/>
    </xf>
    <xf borderId="27" fillId="4" fontId="23" numFmtId="0" xfId="0" applyAlignment="1" applyBorder="1" applyFont="1">
      <alignment horizontal="center" vertical="center"/>
    </xf>
    <xf borderId="12" fillId="5" fontId="28" numFmtId="0" xfId="0" applyAlignment="1" applyBorder="1" applyFont="1">
      <alignment horizontal="left" readingOrder="0" vertical="center"/>
    </xf>
    <xf borderId="6" fillId="6" fontId="26" numFmtId="0" xfId="0" applyAlignment="1" applyBorder="1" applyFont="1">
      <alignment horizontal="left" readingOrder="0" vertical="center"/>
    </xf>
    <xf borderId="15" fillId="6" fontId="26" numFmtId="0" xfId="0" applyAlignment="1" applyBorder="1" applyFont="1">
      <alignment horizontal="center" readingOrder="0" vertical="center"/>
    </xf>
    <xf borderId="15" fillId="6" fontId="26" numFmtId="165" xfId="0" applyAlignment="1" applyBorder="1" applyFont="1" applyNumberFormat="1">
      <alignment horizontal="center" readingOrder="0" vertical="center"/>
    </xf>
    <xf borderId="6" fillId="2" fontId="29" numFmtId="165" xfId="0" applyAlignment="1" applyBorder="1" applyFont="1" applyNumberFormat="1">
      <alignment horizontal="center" vertical="center"/>
    </xf>
    <xf borderId="15" fillId="2" fontId="29" numFmtId="164" xfId="0" applyAlignment="1" applyBorder="1" applyFont="1" applyNumberFormat="1">
      <alignment horizontal="center" vertical="center"/>
    </xf>
    <xf borderId="6" fillId="6" fontId="26" numFmtId="0" xfId="0" applyAlignment="1" applyBorder="1" applyFont="1">
      <alignment horizontal="left" vertical="center"/>
    </xf>
    <xf borderId="12" fillId="5" fontId="28" numFmtId="0" xfId="0" applyAlignment="1" applyBorder="1" applyFont="1">
      <alignment horizontal="left" vertical="center"/>
    </xf>
    <xf borderId="15" fillId="6" fontId="26" numFmtId="0" xfId="0" applyAlignment="1" applyBorder="1" applyFont="1">
      <alignment horizontal="center" vertical="center"/>
    </xf>
    <xf borderId="26" fillId="2" fontId="29" numFmtId="165" xfId="0" applyAlignment="1" applyBorder="1" applyFont="1" applyNumberFormat="1">
      <alignment horizontal="center" vertical="center"/>
    </xf>
    <xf borderId="16" fillId="2" fontId="29" numFmtId="164" xfId="0" applyAlignment="1" applyBorder="1" applyFont="1" applyNumberFormat="1">
      <alignment horizontal="center" vertical="center"/>
    </xf>
    <xf borderId="26" fillId="2" fontId="24" numFmtId="165" xfId="0" applyAlignment="1" applyBorder="1" applyFont="1" applyNumberFormat="1">
      <alignment horizontal="center" vertical="center"/>
    </xf>
    <xf borderId="11" fillId="2" fontId="24" numFmtId="164" xfId="0" applyAlignment="1" applyBorder="1" applyFont="1" applyNumberFormat="1">
      <alignment horizontal="center" vertical="center"/>
    </xf>
    <xf borderId="6" fillId="2" fontId="24" numFmtId="165" xfId="0" applyAlignment="1" applyBorder="1" applyFont="1" applyNumberFormat="1">
      <alignment horizontal="center" vertical="center"/>
    </xf>
    <xf borderId="15" fillId="2" fontId="24" numFmtId="164" xfId="0" applyAlignment="1" applyBorder="1" applyFont="1" applyNumberFormat="1">
      <alignment horizontal="center" vertical="center"/>
    </xf>
    <xf borderId="6" fillId="6" fontId="26" numFmtId="0" xfId="0" applyAlignment="1" applyBorder="1" applyFont="1">
      <alignment horizontal="center" readingOrder="0"/>
    </xf>
    <xf borderId="6" fillId="6" fontId="26" numFmtId="164" xfId="0" applyAlignment="1" applyBorder="1" applyFont="1" applyNumberFormat="1">
      <alignment horizontal="right"/>
    </xf>
    <xf borderId="26" fillId="2" fontId="24" numFmtId="165" xfId="0" applyAlignment="1" applyBorder="1" applyFont="1" applyNumberFormat="1">
      <alignment horizontal="center"/>
    </xf>
    <xf borderId="16" fillId="2" fontId="24" numFmtId="164" xfId="0" applyAlignment="1" applyBorder="1" applyFont="1" applyNumberFormat="1">
      <alignment horizontal="center" vertical="center"/>
    </xf>
    <xf borderId="9" fillId="4" fontId="30" numFmtId="0" xfId="0" applyBorder="1" applyFont="1"/>
    <xf borderId="6" fillId="4" fontId="30" numFmtId="0" xfId="0" applyBorder="1" applyFont="1"/>
    <xf borderId="16" fillId="2" fontId="24" numFmtId="165" xfId="0" applyAlignment="1" applyBorder="1" applyFont="1" applyNumberFormat="1">
      <alignment horizontal="center" vertical="center"/>
    </xf>
    <xf borderId="26" fillId="2" fontId="23" numFmtId="0" xfId="0" applyAlignment="1" applyBorder="1" applyFont="1">
      <alignment horizontal="center" vertical="center"/>
    </xf>
    <xf borderId="11" fillId="2" fontId="23" numFmtId="0" xfId="0" applyAlignment="1" applyBorder="1" applyFont="1">
      <alignment horizontal="center" vertical="center"/>
    </xf>
    <xf borderId="26" fillId="4" fontId="23" numFmtId="0" xfId="0" applyAlignment="1" applyBorder="1" applyFont="1">
      <alignment horizontal="center" vertical="center"/>
    </xf>
    <xf borderId="23" fillId="2" fontId="26" numFmtId="0" xfId="0" applyAlignment="1" applyBorder="1" applyFont="1">
      <alignment horizontal="center" vertical="center"/>
    </xf>
    <xf borderId="24" fillId="2" fontId="26" numFmtId="0" xfId="0" applyAlignment="1" applyBorder="1" applyFont="1">
      <alignment horizontal="center" vertical="center"/>
    </xf>
    <xf borderId="25" fillId="2" fontId="26" numFmtId="0" xfId="0" applyAlignment="1" applyBorder="1" applyFont="1">
      <alignment horizontal="center" vertical="center"/>
    </xf>
    <xf borderId="0" fillId="4" fontId="23" numFmtId="0" xfId="0" applyAlignment="1" applyFont="1">
      <alignment horizontal="center" vertical="center"/>
    </xf>
    <xf borderId="28" fillId="4" fontId="23" numFmtId="0" xfId="0" applyAlignment="1" applyBorder="1" applyFont="1">
      <alignment horizontal="center" vertical="center"/>
    </xf>
    <xf borderId="6" fillId="4" fontId="23" numFmtId="0" xfId="0" applyAlignment="1" applyBorder="1" applyFont="1">
      <alignment horizontal="center" readingOrder="0" vertical="center"/>
    </xf>
    <xf borderId="21" fillId="4" fontId="23" numFmtId="0" xfId="0" applyAlignment="1" applyBorder="1" applyFont="1">
      <alignment horizontal="center" vertical="center"/>
    </xf>
    <xf borderId="26" fillId="7" fontId="27" numFmtId="0" xfId="0" applyAlignment="1" applyBorder="1" applyFont="1">
      <alignment horizontal="center" vertical="center"/>
    </xf>
    <xf borderId="6" fillId="7" fontId="27" numFmtId="164" xfId="0" applyAlignment="1" applyBorder="1" applyFont="1" applyNumberFormat="1">
      <alignment horizontal="center" vertical="center"/>
    </xf>
    <xf borderId="6" fillId="7" fontId="27" numFmtId="0" xfId="0" applyAlignment="1" applyBorder="1" applyFont="1">
      <alignment horizontal="center" readingOrder="0" vertical="center"/>
    </xf>
    <xf borderId="12" fillId="5" fontId="31" numFmtId="0" xfId="0" applyAlignment="1" applyBorder="1" applyFont="1">
      <alignment horizontal="left" readingOrder="0" vertical="center"/>
    </xf>
    <xf borderId="6" fillId="2" fontId="26" numFmtId="164" xfId="0" applyAlignment="1" applyBorder="1" applyFont="1" applyNumberFormat="1">
      <alignment horizontal="center" vertical="center"/>
    </xf>
    <xf borderId="11" fillId="2" fontId="26" numFmtId="0" xfId="0" applyAlignment="1" applyBorder="1" applyFont="1">
      <alignment horizontal="center" vertical="center"/>
    </xf>
    <xf borderId="12" fillId="5" fontId="31" numFmtId="0" xfId="0" applyAlignment="1" applyBorder="1" applyFont="1">
      <alignment horizontal="left" vertical="center"/>
    </xf>
    <xf borderId="17" fillId="2" fontId="26" numFmtId="0" xfId="0" applyAlignment="1" applyBorder="1" applyFont="1">
      <alignment horizontal="left" vertical="center"/>
    </xf>
    <xf borderId="18" fillId="2" fontId="26" numFmtId="164" xfId="0" applyAlignment="1" applyBorder="1" applyFont="1" applyNumberFormat="1">
      <alignment horizontal="center" vertical="center"/>
    </xf>
    <xf borderId="14" fillId="2" fontId="26" numFmtId="0" xfId="0" applyAlignment="1" applyBorder="1" applyFont="1">
      <alignment horizontal="center" vertical="center"/>
    </xf>
    <xf borderId="21" fillId="4" fontId="23" numFmtId="0" xfId="0" applyAlignment="1" applyBorder="1" applyFont="1">
      <alignment horizontal="left" vertical="center"/>
    </xf>
    <xf borderId="6" fillId="4" fontId="23" numFmtId="0" xfId="0" applyAlignment="1" applyBorder="1" applyFont="1">
      <alignment horizontal="left" vertical="center"/>
    </xf>
    <xf borderId="29" fillId="2" fontId="4" numFmtId="164" xfId="0" applyAlignment="1" applyBorder="1" applyFont="1" applyNumberFormat="1">
      <alignment horizontal="center" vertical="center"/>
    </xf>
    <xf borderId="26" fillId="2" fontId="8" numFmtId="0" xfId="0" applyAlignment="1" applyBorder="1" applyFont="1">
      <alignment horizontal="center" readingOrder="0" vertical="center"/>
    </xf>
    <xf borderId="26" fillId="2" fontId="6" numFmtId="0" xfId="0" applyAlignment="1" applyBorder="1" applyFont="1">
      <alignment horizontal="center" vertical="center"/>
    </xf>
    <xf borderId="6" fillId="2" fontId="10" numFmtId="164" xfId="0" applyAlignment="1" applyBorder="1" applyFont="1" applyNumberFormat="1">
      <alignment horizontal="right" readingOrder="0" vertical="center"/>
    </xf>
    <xf borderId="6" fillId="6" fontId="10" numFmtId="0" xfId="0" applyAlignment="1" applyBorder="1" applyFont="1">
      <alignment horizontal="left" readingOrder="0" vertical="center"/>
    </xf>
    <xf borderId="6" fillId="2" fontId="12" numFmtId="165" xfId="0" applyAlignment="1" applyBorder="1" applyFont="1" applyNumberFormat="1">
      <alignment horizontal="center" vertical="center"/>
    </xf>
    <xf borderId="15" fillId="2" fontId="12" numFmtId="164" xfId="0" applyAlignment="1" applyBorder="1" applyFont="1" applyNumberFormat="1">
      <alignment horizontal="center" vertical="center"/>
    </xf>
    <xf borderId="6" fillId="6" fontId="10" numFmtId="0" xfId="0" applyAlignment="1" applyBorder="1" applyFont="1">
      <alignment horizontal="left" vertical="center"/>
    </xf>
    <xf borderId="26" fillId="2" fontId="12" numFmtId="165" xfId="0" applyAlignment="1" applyBorder="1" applyFont="1" applyNumberFormat="1">
      <alignment horizontal="center" vertical="center"/>
    </xf>
    <xf borderId="26" fillId="2" fontId="7" numFmtId="165" xfId="0" applyAlignment="1" applyBorder="1" applyFont="1" applyNumberFormat="1">
      <alignment horizontal="center" vertical="center"/>
    </xf>
    <xf borderId="11" fillId="2" fontId="7" numFmtId="164" xfId="0" applyAlignment="1" applyBorder="1" applyFont="1" applyNumberFormat="1">
      <alignment horizontal="center" vertical="center"/>
    </xf>
    <xf borderId="6" fillId="2" fontId="7" numFmtId="165" xfId="0" applyAlignment="1" applyBorder="1" applyFont="1" applyNumberFormat="1">
      <alignment horizontal="center" vertical="center"/>
    </xf>
    <xf borderId="15" fillId="2" fontId="7" numFmtId="164" xfId="0" applyAlignment="1" applyBorder="1" applyFont="1" applyNumberFormat="1">
      <alignment horizontal="center" vertical="center"/>
    </xf>
    <xf borderId="6" fillId="6" fontId="32" numFmtId="0" xfId="0" applyAlignment="1" applyBorder="1" applyFont="1">
      <alignment horizontal="center" readingOrder="0"/>
    </xf>
    <xf borderId="6" fillId="6" fontId="32" numFmtId="164" xfId="0" applyAlignment="1" applyBorder="1" applyFont="1" applyNumberFormat="1">
      <alignment horizontal="right" readingOrder="0"/>
    </xf>
    <xf borderId="6" fillId="6" fontId="32" numFmtId="164" xfId="0" applyAlignment="1" applyBorder="1" applyFont="1" applyNumberFormat="1">
      <alignment horizontal="right"/>
    </xf>
    <xf borderId="26" fillId="2" fontId="7" numFmtId="165" xfId="0" applyAlignment="1" applyBorder="1" applyFont="1" applyNumberFormat="1">
      <alignment horizontal="center"/>
    </xf>
    <xf borderId="9" fillId="4" fontId="33" numFmtId="0" xfId="0" applyBorder="1" applyFont="1"/>
    <xf borderId="6" fillId="4" fontId="33" numFmtId="0" xfId="0" applyBorder="1" applyFont="1"/>
    <xf borderId="6" fillId="3" fontId="34" numFmtId="164" xfId="0" applyAlignment="1" applyBorder="1" applyFont="1" applyNumberFormat="1">
      <alignment horizontal="center" vertical="center"/>
    </xf>
    <xf borderId="14" fillId="2" fontId="12" numFmtId="0" xfId="0" applyAlignment="1" applyBorder="1" applyFont="1">
      <alignment horizontal="center" vertical="center"/>
    </xf>
    <xf borderId="8" fillId="4" fontId="6" numFmtId="0" xfId="0" applyAlignment="1" applyBorder="1" applyFont="1">
      <alignment horizontal="center" readingOrder="0" vertical="center"/>
    </xf>
    <xf borderId="10" fillId="2" fontId="10" numFmtId="0" xfId="0" applyAlignment="1" applyBorder="1" applyFont="1">
      <alignment horizontal="left" readingOrder="0" vertical="center"/>
    </xf>
    <xf borderId="10" fillId="8" fontId="10" numFmtId="0" xfId="0" applyAlignment="1" applyBorder="1" applyFill="1" applyFont="1">
      <alignment horizontal="left" vertical="center"/>
    </xf>
    <xf borderId="6" fillId="8" fontId="10" numFmtId="0" xfId="0" applyAlignment="1" applyBorder="1" applyFont="1">
      <alignment horizontal="center" readingOrder="0" vertical="center"/>
    </xf>
    <xf borderId="6" fillId="8" fontId="10" numFmtId="164" xfId="0" applyAlignment="1" applyBorder="1" applyFont="1" applyNumberFormat="1">
      <alignment horizontal="right" vertical="center"/>
    </xf>
    <xf borderId="6" fillId="8" fontId="10" numFmtId="164" xfId="0" applyAlignment="1" applyBorder="1" applyFont="1" applyNumberFormat="1">
      <alignment horizontal="right" readingOrder="0" vertical="center"/>
    </xf>
    <xf borderId="26" fillId="8" fontId="12" numFmtId="165" xfId="0" applyAlignment="1" applyBorder="1" applyFont="1" applyNumberFormat="1">
      <alignment horizontal="center" vertical="center"/>
    </xf>
    <xf borderId="16" fillId="2" fontId="7" numFmtId="0" xfId="0" applyAlignment="1" applyBorder="1" applyFont="1">
      <alignment horizontal="center" vertical="center"/>
    </xf>
    <xf borderId="6" fillId="9" fontId="6" numFmtId="165" xfId="0" applyAlignment="1" applyBorder="1" applyFill="1" applyFont="1" applyNumberFormat="1">
      <alignment horizontal="center" readingOrder="0" vertical="center"/>
    </xf>
    <xf borderId="10" fillId="9" fontId="10" numFmtId="0" xfId="0" applyAlignment="1" applyBorder="1" applyFont="1">
      <alignment horizontal="left" vertical="center"/>
    </xf>
    <xf borderId="6" fillId="9" fontId="10" numFmtId="0" xfId="0" applyAlignment="1" applyBorder="1" applyFont="1">
      <alignment horizontal="center" readingOrder="0" vertical="center"/>
    </xf>
    <xf borderId="6" fillId="9" fontId="10" numFmtId="164" xfId="0" applyAlignment="1" applyBorder="1" applyFont="1" applyNumberFormat="1">
      <alignment horizontal="right" vertical="center"/>
    </xf>
    <xf borderId="6" fillId="9" fontId="10" numFmtId="164" xfId="0" applyAlignment="1" applyBorder="1" applyFont="1" applyNumberFormat="1">
      <alignment horizontal="right" readingOrder="0" vertical="center"/>
    </xf>
    <xf borderId="26" fillId="9" fontId="7" numFmtId="165" xfId="0" applyAlignment="1" applyBorder="1" applyFont="1" applyNumberFormat="1">
      <alignment horizontal="center" vertical="center"/>
    </xf>
    <xf borderId="14" fillId="2" fontId="12" numFmtId="165" xfId="0" applyAlignment="1" applyBorder="1" applyFont="1" applyNumberFormat="1">
      <alignment horizontal="center" vertical="center"/>
    </xf>
    <xf borderId="6" fillId="9" fontId="6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jim.com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51.63"/>
    <col customWidth="1" min="2" max="2" width="18.0"/>
    <col customWidth="1" min="3" max="3" width="16.0"/>
    <col customWidth="1" min="4" max="4" width="14.0"/>
    <col customWidth="1" min="5" max="5" width="12.0"/>
    <col customWidth="1" min="6" max="6" width="14.0"/>
    <col customWidth="1" min="7" max="7" width="12.75"/>
    <col customWidth="1" min="8" max="9" width="16.0"/>
    <col customWidth="1" min="10" max="10" width="5.0"/>
    <col customWidth="1" min="11" max="11" width="28.0"/>
    <col customWidth="1" min="12" max="14" width="14.0"/>
    <col customWidth="1" min="15" max="15" width="18.0"/>
    <col customWidth="1" min="16" max="16" width="17.63"/>
  </cols>
  <sheetData>
    <row r="1" ht="15.75" customHeight="1">
      <c r="A1" s="1" t="s">
        <v>0</v>
      </c>
      <c r="B1" s="2"/>
      <c r="C1" s="2"/>
      <c r="D1" s="2"/>
      <c r="E1" s="3"/>
      <c r="F1" s="4" t="s">
        <v>1</v>
      </c>
      <c r="G1" s="5"/>
      <c r="H1" s="6">
        <v>3375.82</v>
      </c>
      <c r="I1" s="7"/>
      <c r="J1" s="8"/>
      <c r="K1" s="9" t="s">
        <v>2</v>
      </c>
      <c r="L1" s="2"/>
      <c r="M1" s="2"/>
      <c r="N1" s="2"/>
      <c r="O1" s="2"/>
      <c r="P1" s="10"/>
      <c r="Q1" s="11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ht="15.75" customHeight="1">
      <c r="A2" s="13" t="s">
        <v>3</v>
      </c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5" t="s">
        <v>11</v>
      </c>
      <c r="J2" s="8"/>
      <c r="K2" s="13" t="s">
        <v>12</v>
      </c>
      <c r="L2" s="14" t="s">
        <v>13</v>
      </c>
      <c r="M2" s="14" t="s">
        <v>14</v>
      </c>
      <c r="N2" s="14" t="s">
        <v>15</v>
      </c>
      <c r="O2" s="14" t="s">
        <v>16</v>
      </c>
      <c r="P2" s="15" t="s">
        <v>17</v>
      </c>
      <c r="Q2" s="16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</row>
    <row r="3" ht="15.75" customHeight="1">
      <c r="A3" s="18" t="s">
        <v>18</v>
      </c>
      <c r="B3" s="19"/>
      <c r="C3" s="19"/>
      <c r="D3" s="19"/>
      <c r="E3" s="19"/>
      <c r="F3" s="19"/>
      <c r="G3" s="19"/>
      <c r="H3" s="19"/>
      <c r="I3" s="20"/>
      <c r="J3" s="8"/>
      <c r="K3" s="21"/>
      <c r="L3" s="22"/>
      <c r="M3" s="22"/>
      <c r="N3" s="22"/>
      <c r="O3" s="22"/>
      <c r="P3" s="23"/>
      <c r="Q3" s="11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ht="15.75" customHeight="1">
      <c r="A4" s="24" t="s">
        <v>19</v>
      </c>
      <c r="B4" s="25" t="s">
        <v>20</v>
      </c>
      <c r="C4" s="25" t="s">
        <v>21</v>
      </c>
      <c r="D4" s="25" t="s">
        <v>22</v>
      </c>
      <c r="E4" s="25" t="s">
        <v>22</v>
      </c>
      <c r="F4" s="26">
        <v>65.0</v>
      </c>
      <c r="G4" s="27" t="s">
        <v>23</v>
      </c>
      <c r="H4" s="28" t="s">
        <v>22</v>
      </c>
      <c r="I4" s="29"/>
      <c r="J4" s="8"/>
      <c r="K4" s="30" t="s">
        <v>24</v>
      </c>
      <c r="L4" s="31">
        <v>2540.0</v>
      </c>
      <c r="M4" s="31">
        <v>580.0</v>
      </c>
      <c r="N4" s="31">
        <v>264.0</v>
      </c>
      <c r="O4" s="32">
        <v>5.0</v>
      </c>
      <c r="P4" s="33" t="s">
        <v>25</v>
      </c>
      <c r="Q4" s="11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ht="15.75" customHeight="1">
      <c r="A5" s="24" t="s">
        <v>26</v>
      </c>
      <c r="B5" s="25" t="s">
        <v>27</v>
      </c>
      <c r="C5" s="25" t="s">
        <v>28</v>
      </c>
      <c r="D5" s="25" t="s">
        <v>22</v>
      </c>
      <c r="E5" s="25">
        <v>7.0</v>
      </c>
      <c r="F5" s="26">
        <v>1371.16</v>
      </c>
      <c r="G5" s="27" t="s">
        <v>23</v>
      </c>
      <c r="H5" s="28" t="s">
        <v>22</v>
      </c>
      <c r="I5" s="29"/>
      <c r="J5" s="8"/>
      <c r="K5" s="30" t="s">
        <v>29</v>
      </c>
      <c r="L5" s="31">
        <v>2000.0</v>
      </c>
      <c r="M5" s="34" t="s">
        <v>22</v>
      </c>
      <c r="N5" s="34" t="s">
        <v>22</v>
      </c>
      <c r="O5" s="32">
        <v>10.0</v>
      </c>
      <c r="P5" s="33" t="s">
        <v>25</v>
      </c>
      <c r="Q5" s="11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ht="15.75" customHeight="1">
      <c r="A6" s="24" t="s">
        <v>30</v>
      </c>
      <c r="B6" s="25" t="s">
        <v>31</v>
      </c>
      <c r="C6" s="25" t="s">
        <v>28</v>
      </c>
      <c r="D6" s="25" t="s">
        <v>22</v>
      </c>
      <c r="E6" s="25">
        <v>7.0</v>
      </c>
      <c r="F6" s="26">
        <v>473.45</v>
      </c>
      <c r="G6" s="27" t="s">
        <v>23</v>
      </c>
      <c r="H6" s="28" t="s">
        <v>22</v>
      </c>
      <c r="I6" s="29"/>
      <c r="J6" s="8"/>
      <c r="K6" s="30" t="s">
        <v>32</v>
      </c>
      <c r="L6" s="31">
        <v>400.0</v>
      </c>
      <c r="M6" s="34" t="s">
        <v>22</v>
      </c>
      <c r="N6" s="34" t="s">
        <v>22</v>
      </c>
      <c r="O6" s="32">
        <v>10.0</v>
      </c>
      <c r="P6" s="33" t="s">
        <v>25</v>
      </c>
      <c r="Q6" s="11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ht="15.75" customHeight="1">
      <c r="A7" s="24" t="s">
        <v>33</v>
      </c>
      <c r="B7" s="25" t="s">
        <v>34</v>
      </c>
      <c r="C7" s="25" t="s">
        <v>35</v>
      </c>
      <c r="D7" s="25" t="s">
        <v>22</v>
      </c>
      <c r="E7" s="25">
        <v>20.0</v>
      </c>
      <c r="F7" s="26">
        <v>127.99</v>
      </c>
      <c r="G7" s="27" t="s">
        <v>23</v>
      </c>
      <c r="H7" s="28" t="s">
        <v>22</v>
      </c>
      <c r="I7" s="29"/>
      <c r="J7" s="8"/>
      <c r="K7" s="30" t="s">
        <v>36</v>
      </c>
      <c r="L7" s="31">
        <v>160.0</v>
      </c>
      <c r="M7" s="34" t="s">
        <v>22</v>
      </c>
      <c r="N7" s="34" t="s">
        <v>22</v>
      </c>
      <c r="O7" s="32">
        <v>10.0</v>
      </c>
      <c r="P7" s="33" t="s">
        <v>25</v>
      </c>
      <c r="Q7" s="11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ht="15.75" customHeight="1">
      <c r="A8" s="24" t="s">
        <v>37</v>
      </c>
      <c r="B8" s="25" t="s">
        <v>38</v>
      </c>
      <c r="C8" s="25" t="s">
        <v>35</v>
      </c>
      <c r="D8" s="25" t="s">
        <v>22</v>
      </c>
      <c r="E8" s="25">
        <v>10.0</v>
      </c>
      <c r="F8" s="28">
        <v>45.0</v>
      </c>
      <c r="G8" s="27" t="s">
        <v>23</v>
      </c>
      <c r="H8" s="28" t="s">
        <v>22</v>
      </c>
      <c r="I8" s="29"/>
      <c r="J8" s="8"/>
      <c r="K8" s="30" t="s">
        <v>39</v>
      </c>
      <c r="L8" s="31">
        <v>500.0</v>
      </c>
      <c r="M8" s="34" t="s">
        <v>22</v>
      </c>
      <c r="N8" s="34" t="s">
        <v>22</v>
      </c>
      <c r="O8" s="32">
        <v>10.0</v>
      </c>
      <c r="P8" s="33" t="s">
        <v>25</v>
      </c>
      <c r="Q8" s="11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ht="15.75" customHeight="1">
      <c r="A9" s="24" t="s">
        <v>40</v>
      </c>
      <c r="B9" s="25" t="s">
        <v>41</v>
      </c>
      <c r="C9" s="25" t="s">
        <v>35</v>
      </c>
      <c r="D9" s="25" t="s">
        <v>22</v>
      </c>
      <c r="E9" s="25">
        <v>17.0</v>
      </c>
      <c r="F9" s="26">
        <v>99.99</v>
      </c>
      <c r="G9" s="27" t="s">
        <v>23</v>
      </c>
      <c r="H9" s="28" t="s">
        <v>22</v>
      </c>
      <c r="I9" s="29"/>
      <c r="J9" s="8"/>
      <c r="K9" s="30" t="s">
        <v>42</v>
      </c>
      <c r="L9" s="31">
        <v>700.0</v>
      </c>
      <c r="M9" s="34" t="s">
        <v>22</v>
      </c>
      <c r="N9" s="34" t="s">
        <v>22</v>
      </c>
      <c r="O9" s="32">
        <v>15.0</v>
      </c>
      <c r="P9" s="33" t="s">
        <v>25</v>
      </c>
      <c r="Q9" s="11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ht="15.75" customHeight="1">
      <c r="A10" s="18" t="s">
        <v>43</v>
      </c>
      <c r="B10" s="19"/>
      <c r="C10" s="19"/>
      <c r="D10" s="19"/>
      <c r="E10" s="19"/>
      <c r="F10" s="19"/>
      <c r="G10" s="19"/>
      <c r="H10" s="19"/>
      <c r="I10" s="20"/>
      <c r="J10" s="8"/>
      <c r="K10" s="35"/>
      <c r="L10" s="36"/>
      <c r="M10" s="36"/>
      <c r="N10" s="36"/>
      <c r="O10" s="37"/>
      <c r="P10" s="23"/>
      <c r="Q10" s="11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ht="15.75" customHeight="1">
      <c r="A11" s="24" t="s">
        <v>44</v>
      </c>
      <c r="B11" s="38" t="s">
        <v>45</v>
      </c>
      <c r="C11" s="38" t="s">
        <v>46</v>
      </c>
      <c r="D11" s="25" t="s">
        <v>22</v>
      </c>
      <c r="E11" s="39" t="s">
        <v>47</v>
      </c>
      <c r="F11" s="26">
        <v>316.03</v>
      </c>
      <c r="G11" s="40" t="s">
        <v>23</v>
      </c>
      <c r="H11" s="28" t="s">
        <v>22</v>
      </c>
      <c r="I11" s="41">
        <f>SUM(F11:F26)</f>
        <v>1431.25</v>
      </c>
      <c r="J11" s="8"/>
      <c r="K11" s="42" t="s">
        <v>48</v>
      </c>
      <c r="L11" s="43">
        <f>SUM(L4:L9)</f>
        <v>6300</v>
      </c>
      <c r="M11" s="43">
        <f t="shared" ref="M11:N11" si="1">L11+(SUM(M4:M9))</f>
        <v>6880</v>
      </c>
      <c r="N11" s="43">
        <f t="shared" si="1"/>
        <v>7144</v>
      </c>
      <c r="O11" s="44"/>
      <c r="P11" s="23"/>
      <c r="Q11" s="11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ht="15.75" customHeight="1">
      <c r="A12" s="24" t="s">
        <v>49</v>
      </c>
      <c r="B12" s="45"/>
      <c r="C12" s="45"/>
      <c r="D12" s="25" t="s">
        <v>22</v>
      </c>
      <c r="E12" s="45"/>
      <c r="F12" s="26">
        <v>4.48</v>
      </c>
      <c r="G12" s="45"/>
      <c r="H12" s="28" t="s">
        <v>22</v>
      </c>
      <c r="I12" s="46"/>
      <c r="J12" s="11"/>
      <c r="K12" s="47"/>
      <c r="L12" s="48"/>
      <c r="M12" s="48"/>
      <c r="N12" s="48"/>
      <c r="O12" s="47"/>
      <c r="P12" s="47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ht="15.75" customHeight="1">
      <c r="A13" s="49" t="s">
        <v>49</v>
      </c>
      <c r="B13" s="45"/>
      <c r="C13" s="45"/>
      <c r="D13" s="25" t="s">
        <v>22</v>
      </c>
      <c r="E13" s="45"/>
      <c r="F13" s="26">
        <v>25.1</v>
      </c>
      <c r="G13" s="45"/>
      <c r="H13" s="28" t="s">
        <v>22</v>
      </c>
      <c r="I13" s="46"/>
      <c r="J13" s="11"/>
      <c r="K13" s="12"/>
      <c r="L13" s="50">
        <f>10254.88+700</f>
        <v>10954.88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ht="15.75" customHeight="1">
      <c r="A14" s="24" t="s">
        <v>50</v>
      </c>
      <c r="B14" s="45"/>
      <c r="C14" s="45"/>
      <c r="D14" s="25" t="s">
        <v>22</v>
      </c>
      <c r="E14" s="45"/>
      <c r="F14" s="26">
        <v>16.6</v>
      </c>
      <c r="G14" s="45"/>
      <c r="H14" s="28" t="s">
        <v>22</v>
      </c>
      <c r="I14" s="46"/>
      <c r="J14" s="11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ht="15.75" customHeight="1">
      <c r="A15" s="24" t="s">
        <v>51</v>
      </c>
      <c r="B15" s="45"/>
      <c r="C15" s="45"/>
      <c r="D15" s="25" t="s">
        <v>22</v>
      </c>
      <c r="E15" s="45"/>
      <c r="F15" s="26">
        <v>17.56</v>
      </c>
      <c r="G15" s="45"/>
      <c r="H15" s="28" t="s">
        <v>22</v>
      </c>
      <c r="I15" s="46"/>
      <c r="J15" s="11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ht="15.75" customHeight="1">
      <c r="A16" s="24" t="s">
        <v>52</v>
      </c>
      <c r="B16" s="45"/>
      <c r="C16" s="45"/>
      <c r="D16" s="25" t="s">
        <v>53</v>
      </c>
      <c r="E16" s="45"/>
      <c r="F16" s="26">
        <v>286.81</v>
      </c>
      <c r="G16" s="45"/>
      <c r="H16" s="28" t="s">
        <v>22</v>
      </c>
      <c r="I16" s="46"/>
      <c r="J16" s="11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ht="15.75" customHeight="1">
      <c r="A17" s="24" t="s">
        <v>54</v>
      </c>
      <c r="B17" s="45"/>
      <c r="C17" s="45"/>
      <c r="D17" s="25" t="s">
        <v>55</v>
      </c>
      <c r="E17" s="45"/>
      <c r="F17" s="26">
        <v>7.87</v>
      </c>
      <c r="G17" s="45"/>
      <c r="H17" s="28" t="s">
        <v>22</v>
      </c>
      <c r="I17" s="46"/>
      <c r="J17" s="11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ht="15.75" customHeight="1">
      <c r="A18" s="24" t="s">
        <v>56</v>
      </c>
      <c r="B18" s="45"/>
      <c r="C18" s="45"/>
      <c r="D18" s="25" t="s">
        <v>55</v>
      </c>
      <c r="E18" s="45"/>
      <c r="F18" s="26">
        <v>36.0</v>
      </c>
      <c r="G18" s="45"/>
      <c r="H18" s="28" t="s">
        <v>22</v>
      </c>
      <c r="I18" s="46"/>
      <c r="J18" s="11"/>
      <c r="K18" s="12"/>
      <c r="L18" s="51">
        <v>306.33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ht="15.75" customHeight="1">
      <c r="A19" s="24" t="s">
        <v>57</v>
      </c>
      <c r="B19" s="45"/>
      <c r="C19" s="45"/>
      <c r="D19" s="25" t="s">
        <v>55</v>
      </c>
      <c r="E19" s="45"/>
      <c r="F19" s="26">
        <v>49.5</v>
      </c>
      <c r="G19" s="45"/>
      <c r="H19" s="28" t="s">
        <v>22</v>
      </c>
      <c r="I19" s="46"/>
      <c r="J19" s="11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ht="15.75" customHeight="1">
      <c r="A20" s="24" t="s">
        <v>56</v>
      </c>
      <c r="B20" s="45"/>
      <c r="C20" s="45"/>
      <c r="D20" s="25" t="s">
        <v>55</v>
      </c>
      <c r="E20" s="45"/>
      <c r="F20" s="26">
        <v>36.0</v>
      </c>
      <c r="G20" s="45"/>
      <c r="H20" s="28" t="s">
        <v>22</v>
      </c>
      <c r="I20" s="46"/>
      <c r="J20" s="11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ht="15.75" customHeight="1">
      <c r="A21" s="24" t="s">
        <v>58</v>
      </c>
      <c r="B21" s="45"/>
      <c r="C21" s="45"/>
      <c r="D21" s="25" t="s">
        <v>55</v>
      </c>
      <c r="E21" s="45"/>
      <c r="F21" s="26">
        <v>55.72</v>
      </c>
      <c r="G21" s="45"/>
      <c r="H21" s="28" t="s">
        <v>22</v>
      </c>
      <c r="I21" s="46"/>
      <c r="J21" s="11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ht="15.75" customHeight="1">
      <c r="A22" s="24" t="s">
        <v>59</v>
      </c>
      <c r="B22" s="45"/>
      <c r="C22" s="45"/>
      <c r="D22" s="25" t="s">
        <v>60</v>
      </c>
      <c r="E22" s="45"/>
      <c r="F22" s="26">
        <v>375.0</v>
      </c>
      <c r="G22" s="45"/>
      <c r="H22" s="28" t="s">
        <v>22</v>
      </c>
      <c r="I22" s="46"/>
      <c r="J22" s="11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ht="15.75" customHeight="1">
      <c r="A23" s="24" t="s">
        <v>61</v>
      </c>
      <c r="B23" s="45"/>
      <c r="C23" s="45"/>
      <c r="D23" s="25" t="s">
        <v>62</v>
      </c>
      <c r="E23" s="45"/>
      <c r="F23" s="26">
        <v>53.67</v>
      </c>
      <c r="G23" s="45"/>
      <c r="H23" s="28" t="s">
        <v>22</v>
      </c>
      <c r="I23" s="46"/>
      <c r="J23" s="11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ht="15.75" customHeight="1">
      <c r="A24" s="24" t="s">
        <v>63</v>
      </c>
      <c r="B24" s="45"/>
      <c r="C24" s="45"/>
      <c r="D24" s="25" t="s">
        <v>64</v>
      </c>
      <c r="E24" s="45"/>
      <c r="F24" s="26">
        <v>59.02</v>
      </c>
      <c r="G24" s="45"/>
      <c r="H24" s="28" t="s">
        <v>22</v>
      </c>
      <c r="I24" s="46"/>
      <c r="J24" s="11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ht="15.75" customHeight="1">
      <c r="A25" s="24" t="s">
        <v>65</v>
      </c>
      <c r="B25" s="45"/>
      <c r="C25" s="45"/>
      <c r="D25" s="25" t="s">
        <v>66</v>
      </c>
      <c r="E25" s="45"/>
      <c r="F25" s="26">
        <v>40.75</v>
      </c>
      <c r="G25" s="45"/>
      <c r="H25" s="28" t="s">
        <v>22</v>
      </c>
      <c r="I25" s="46"/>
      <c r="J25" s="11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ht="15.75" customHeight="1">
      <c r="A26" s="24" t="s">
        <v>67</v>
      </c>
      <c r="B26" s="52"/>
      <c r="C26" s="52"/>
      <c r="D26" s="25" t="s">
        <v>68</v>
      </c>
      <c r="E26" s="52"/>
      <c r="F26" s="26">
        <v>51.14</v>
      </c>
      <c r="G26" s="52"/>
      <c r="H26" s="28" t="s">
        <v>69</v>
      </c>
      <c r="I26" s="53"/>
      <c r="J26" s="11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ht="15.75" customHeight="1">
      <c r="A27" s="54" t="s">
        <v>70</v>
      </c>
      <c r="B27" s="19"/>
      <c r="C27" s="19"/>
      <c r="D27" s="19"/>
      <c r="E27" s="19"/>
      <c r="F27" s="19"/>
      <c r="G27" s="19"/>
      <c r="H27" s="19"/>
      <c r="I27" s="20"/>
      <c r="J27" s="11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ht="15.75" customHeight="1">
      <c r="A28" s="24" t="s">
        <v>71</v>
      </c>
      <c r="B28" s="38" t="s">
        <v>72</v>
      </c>
      <c r="C28" s="38" t="s">
        <v>46</v>
      </c>
      <c r="D28" s="25" t="s">
        <v>73</v>
      </c>
      <c r="E28" s="39" t="s">
        <v>74</v>
      </c>
      <c r="F28" s="26">
        <v>33.67</v>
      </c>
      <c r="G28" s="40" t="s">
        <v>23</v>
      </c>
      <c r="H28" s="28" t="s">
        <v>69</v>
      </c>
      <c r="I28" s="41">
        <f>SUM(F28:F29)</f>
        <v>59.67</v>
      </c>
      <c r="J28" s="11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ht="15.75" customHeight="1">
      <c r="A29" s="24" t="s">
        <v>75</v>
      </c>
      <c r="B29" s="52"/>
      <c r="C29" s="52"/>
      <c r="D29" s="25" t="s">
        <v>73</v>
      </c>
      <c r="E29" s="52"/>
      <c r="F29" s="26">
        <v>26.0</v>
      </c>
      <c r="G29" s="52"/>
      <c r="H29" s="28" t="s">
        <v>69</v>
      </c>
      <c r="I29" s="53"/>
      <c r="J29" s="11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ht="15.75" customHeight="1">
      <c r="A30" s="54" t="s">
        <v>76</v>
      </c>
      <c r="B30" s="19"/>
      <c r="C30" s="19"/>
      <c r="D30" s="19"/>
      <c r="E30" s="19"/>
      <c r="F30" s="19"/>
      <c r="G30" s="19"/>
      <c r="H30" s="19"/>
      <c r="I30" s="20"/>
      <c r="J30" s="11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ht="15.75" customHeight="1">
      <c r="A31" s="24" t="s">
        <v>77</v>
      </c>
      <c r="B31" s="38" t="s">
        <v>78</v>
      </c>
      <c r="C31" s="38" t="s">
        <v>46</v>
      </c>
      <c r="D31" s="25" t="s">
        <v>22</v>
      </c>
      <c r="E31" s="39" t="s">
        <v>74</v>
      </c>
      <c r="F31" s="26">
        <v>0.03</v>
      </c>
      <c r="G31" s="40" t="s">
        <v>23</v>
      </c>
      <c r="H31" s="28" t="s">
        <v>22</v>
      </c>
      <c r="I31" s="55">
        <f>SUM(F31:F53)</f>
        <v>434.7</v>
      </c>
      <c r="J31" s="11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ht="15.75" customHeight="1">
      <c r="A32" s="24" t="s">
        <v>79</v>
      </c>
      <c r="B32" s="45"/>
      <c r="C32" s="45"/>
      <c r="D32" s="25" t="s">
        <v>22</v>
      </c>
      <c r="E32" s="45"/>
      <c r="F32" s="26">
        <v>0.5</v>
      </c>
      <c r="G32" s="45"/>
      <c r="H32" s="28" t="s">
        <v>22</v>
      </c>
      <c r="I32" s="46"/>
      <c r="J32" s="11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ht="15.75" customHeight="1">
      <c r="A33" s="24" t="s">
        <v>80</v>
      </c>
      <c r="B33" s="45"/>
      <c r="C33" s="45"/>
      <c r="D33" s="25" t="s">
        <v>22</v>
      </c>
      <c r="E33" s="45"/>
      <c r="F33" s="26">
        <v>0.15</v>
      </c>
      <c r="G33" s="45"/>
      <c r="H33" s="28" t="s">
        <v>22</v>
      </c>
      <c r="I33" s="46"/>
      <c r="J33" s="11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ht="15.75" customHeight="1">
      <c r="A34" s="24" t="s">
        <v>81</v>
      </c>
      <c r="B34" s="45"/>
      <c r="C34" s="45"/>
      <c r="D34" s="25" t="s">
        <v>22</v>
      </c>
      <c r="E34" s="45"/>
      <c r="F34" s="26">
        <v>10.88</v>
      </c>
      <c r="G34" s="45"/>
      <c r="H34" s="28" t="s">
        <v>22</v>
      </c>
      <c r="I34" s="46"/>
      <c r="J34" s="11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ht="15.75" customHeight="1">
      <c r="A35" s="24" t="s">
        <v>81</v>
      </c>
      <c r="B35" s="45"/>
      <c r="C35" s="45"/>
      <c r="D35" s="25" t="s">
        <v>22</v>
      </c>
      <c r="E35" s="45"/>
      <c r="F35" s="26">
        <v>1.5</v>
      </c>
      <c r="G35" s="45"/>
      <c r="H35" s="28" t="s">
        <v>22</v>
      </c>
      <c r="I35" s="46"/>
      <c r="J35" s="11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ht="15.75" customHeight="1">
      <c r="A36" s="24" t="s">
        <v>81</v>
      </c>
      <c r="B36" s="45"/>
      <c r="C36" s="45"/>
      <c r="D36" s="25" t="s">
        <v>22</v>
      </c>
      <c r="E36" s="45"/>
      <c r="F36" s="26">
        <v>14.94</v>
      </c>
      <c r="G36" s="45"/>
      <c r="H36" s="28" t="s">
        <v>22</v>
      </c>
      <c r="I36" s="46"/>
      <c r="J36" s="11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ht="15.75" customHeight="1">
      <c r="A37" s="24" t="s">
        <v>81</v>
      </c>
      <c r="B37" s="45"/>
      <c r="C37" s="45"/>
      <c r="D37" s="25" t="s">
        <v>22</v>
      </c>
      <c r="E37" s="45"/>
      <c r="F37" s="26">
        <v>16.5</v>
      </c>
      <c r="G37" s="45"/>
      <c r="H37" s="28" t="s">
        <v>22</v>
      </c>
      <c r="I37" s="46"/>
      <c r="J37" s="11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ht="15.75" customHeight="1">
      <c r="A38" s="24" t="s">
        <v>81</v>
      </c>
      <c r="B38" s="45"/>
      <c r="C38" s="45"/>
      <c r="D38" s="25" t="s">
        <v>22</v>
      </c>
      <c r="E38" s="45"/>
      <c r="F38" s="26">
        <v>13.1</v>
      </c>
      <c r="G38" s="45"/>
      <c r="H38" s="28" t="s">
        <v>22</v>
      </c>
      <c r="I38" s="46"/>
      <c r="J38" s="11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ht="15.75" customHeight="1">
      <c r="A39" s="24" t="s">
        <v>81</v>
      </c>
      <c r="B39" s="45"/>
      <c r="C39" s="45"/>
      <c r="D39" s="25" t="s">
        <v>22</v>
      </c>
      <c r="E39" s="45"/>
      <c r="F39" s="26">
        <v>4.54</v>
      </c>
      <c r="G39" s="45"/>
      <c r="H39" s="28" t="s">
        <v>22</v>
      </c>
      <c r="I39" s="46"/>
      <c r="J39" s="11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ht="15.75" customHeight="1">
      <c r="A40" s="24" t="s">
        <v>81</v>
      </c>
      <c r="B40" s="45"/>
      <c r="C40" s="45"/>
      <c r="D40" s="25" t="s">
        <v>22</v>
      </c>
      <c r="E40" s="45"/>
      <c r="F40" s="26">
        <v>17.59</v>
      </c>
      <c r="G40" s="45"/>
      <c r="H40" s="28" t="s">
        <v>22</v>
      </c>
      <c r="I40" s="46"/>
      <c r="J40" s="11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</row>
    <row r="41" ht="15.75" customHeight="1">
      <c r="A41" s="24" t="s">
        <v>82</v>
      </c>
      <c r="B41" s="45"/>
      <c r="C41" s="45"/>
      <c r="D41" s="25" t="s">
        <v>22</v>
      </c>
      <c r="E41" s="45"/>
      <c r="F41" s="26">
        <v>12.96</v>
      </c>
      <c r="G41" s="45"/>
      <c r="H41" s="28" t="s">
        <v>22</v>
      </c>
      <c r="I41" s="46"/>
      <c r="J41" s="11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ht="15.75" customHeight="1">
      <c r="A42" s="24" t="s">
        <v>83</v>
      </c>
      <c r="B42" s="45"/>
      <c r="C42" s="45"/>
      <c r="D42" s="25" t="s">
        <v>22</v>
      </c>
      <c r="E42" s="45"/>
      <c r="F42" s="26">
        <v>11.99</v>
      </c>
      <c r="G42" s="45"/>
      <c r="H42" s="28" t="s">
        <v>22</v>
      </c>
      <c r="I42" s="46"/>
      <c r="J42" s="11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</row>
    <row r="43" ht="15.75" customHeight="1">
      <c r="A43" s="24" t="s">
        <v>84</v>
      </c>
      <c r="B43" s="45"/>
      <c r="C43" s="45"/>
      <c r="D43" s="25" t="s">
        <v>22</v>
      </c>
      <c r="E43" s="45"/>
      <c r="F43" s="26">
        <v>21.3</v>
      </c>
      <c r="G43" s="45"/>
      <c r="H43" s="28" t="s">
        <v>22</v>
      </c>
      <c r="I43" s="46"/>
      <c r="J43" s="11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ht="15.75" customHeight="1">
      <c r="A44" s="24" t="s">
        <v>85</v>
      </c>
      <c r="B44" s="45"/>
      <c r="C44" s="45"/>
      <c r="D44" s="25" t="s">
        <v>22</v>
      </c>
      <c r="E44" s="45"/>
      <c r="F44" s="26">
        <v>26.99</v>
      </c>
      <c r="G44" s="45"/>
      <c r="H44" s="28" t="s">
        <v>22</v>
      </c>
      <c r="I44" s="46"/>
      <c r="J44" s="11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ht="15.75" customHeight="1">
      <c r="A45" s="24" t="s">
        <v>86</v>
      </c>
      <c r="B45" s="45"/>
      <c r="C45" s="45"/>
      <c r="D45" s="25" t="s">
        <v>22</v>
      </c>
      <c r="E45" s="45"/>
      <c r="F45" s="26">
        <v>18.0</v>
      </c>
      <c r="G45" s="45"/>
      <c r="H45" s="28" t="s">
        <v>22</v>
      </c>
      <c r="I45" s="46"/>
      <c r="J45" s="11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ht="15.75" customHeight="1">
      <c r="A46" s="24" t="s">
        <v>87</v>
      </c>
      <c r="B46" s="45"/>
      <c r="C46" s="45"/>
      <c r="D46" s="25" t="s">
        <v>22</v>
      </c>
      <c r="E46" s="45"/>
      <c r="F46" s="26">
        <v>36.9</v>
      </c>
      <c r="G46" s="45"/>
      <c r="H46" s="28" t="s">
        <v>22</v>
      </c>
      <c r="I46" s="46"/>
      <c r="J46" s="11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ht="15.75" customHeight="1">
      <c r="A47" s="24" t="s">
        <v>88</v>
      </c>
      <c r="B47" s="45"/>
      <c r="C47" s="45"/>
      <c r="D47" s="25" t="s">
        <v>22</v>
      </c>
      <c r="E47" s="45"/>
      <c r="F47" s="26">
        <v>23.9</v>
      </c>
      <c r="G47" s="45"/>
      <c r="H47" s="28" t="s">
        <v>22</v>
      </c>
      <c r="I47" s="46"/>
      <c r="J47" s="11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ht="15.75" customHeight="1">
      <c r="A48" s="24" t="s">
        <v>89</v>
      </c>
      <c r="B48" s="45"/>
      <c r="C48" s="45"/>
      <c r="D48" s="25" t="s">
        <v>22</v>
      </c>
      <c r="E48" s="45"/>
      <c r="F48" s="26">
        <v>30.3</v>
      </c>
      <c r="G48" s="45"/>
      <c r="H48" s="28" t="s">
        <v>22</v>
      </c>
      <c r="I48" s="46"/>
      <c r="J48" s="11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</row>
    <row r="49" ht="15.75" customHeight="1">
      <c r="A49" s="24" t="s">
        <v>90</v>
      </c>
      <c r="B49" s="45"/>
      <c r="C49" s="45"/>
      <c r="D49" s="25" t="s">
        <v>22</v>
      </c>
      <c r="E49" s="45"/>
      <c r="F49" s="26">
        <v>35.57</v>
      </c>
      <c r="G49" s="45"/>
      <c r="H49" s="28" t="s">
        <v>22</v>
      </c>
      <c r="I49" s="46"/>
      <c r="J49" s="11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ht="15.75" customHeight="1">
      <c r="A50" s="24" t="s">
        <v>91</v>
      </c>
      <c r="B50" s="45"/>
      <c r="C50" s="45"/>
      <c r="D50" s="25" t="s">
        <v>22</v>
      </c>
      <c r="E50" s="45"/>
      <c r="F50" s="26">
        <v>0.76</v>
      </c>
      <c r="G50" s="45"/>
      <c r="H50" s="28" t="s">
        <v>22</v>
      </c>
      <c r="I50" s="46"/>
      <c r="J50" s="11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</row>
    <row r="51" ht="15.75" customHeight="1">
      <c r="A51" s="24" t="s">
        <v>92</v>
      </c>
      <c r="B51" s="45"/>
      <c r="C51" s="45"/>
      <c r="D51" s="25" t="s">
        <v>22</v>
      </c>
      <c r="E51" s="45"/>
      <c r="F51" s="26">
        <v>17.0</v>
      </c>
      <c r="G51" s="45"/>
      <c r="H51" s="28" t="s">
        <v>22</v>
      </c>
      <c r="I51" s="46"/>
      <c r="J51" s="11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</row>
    <row r="52" ht="15.75" customHeight="1">
      <c r="A52" s="24" t="s">
        <v>92</v>
      </c>
      <c r="B52" s="45"/>
      <c r="C52" s="45"/>
      <c r="D52" s="25" t="s">
        <v>22</v>
      </c>
      <c r="E52" s="45"/>
      <c r="F52" s="26">
        <v>79.4</v>
      </c>
      <c r="G52" s="45"/>
      <c r="H52" s="28" t="s">
        <v>22</v>
      </c>
      <c r="I52" s="46"/>
      <c r="J52" s="11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ht="15.75" customHeight="1">
      <c r="A53" s="24" t="s">
        <v>93</v>
      </c>
      <c r="B53" s="52"/>
      <c r="C53" s="52"/>
      <c r="D53" s="25" t="s">
        <v>22</v>
      </c>
      <c r="E53" s="52"/>
      <c r="F53" s="26">
        <v>39.9</v>
      </c>
      <c r="G53" s="52"/>
      <c r="H53" s="28" t="s">
        <v>22</v>
      </c>
      <c r="I53" s="53"/>
      <c r="J53" s="11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ht="15.75" customHeight="1">
      <c r="A54" s="54" t="s">
        <v>94</v>
      </c>
      <c r="B54" s="19"/>
      <c r="C54" s="19"/>
      <c r="D54" s="19"/>
      <c r="E54" s="19"/>
      <c r="F54" s="19"/>
      <c r="G54" s="19"/>
      <c r="H54" s="19"/>
      <c r="I54" s="20"/>
      <c r="J54" s="11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ht="15.75" customHeight="1">
      <c r="A55" s="24" t="s">
        <v>95</v>
      </c>
      <c r="B55" s="38" t="s">
        <v>96</v>
      </c>
      <c r="C55" s="38" t="s">
        <v>46</v>
      </c>
      <c r="D55" s="25" t="s">
        <v>22</v>
      </c>
      <c r="E55" s="39" t="s">
        <v>97</v>
      </c>
      <c r="F55" s="26">
        <v>55.0</v>
      </c>
      <c r="G55" s="40" t="s">
        <v>23</v>
      </c>
      <c r="H55" s="26" t="str">
        <f>IF(G55="Pago",H53,H53-F55)</f>
        <v>-</v>
      </c>
      <c r="I55" s="55">
        <f>SUM(F55:F87)</f>
        <v>1993.1</v>
      </c>
      <c r="J55" s="11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ht="15.75" customHeight="1">
      <c r="A56" s="24" t="s">
        <v>98</v>
      </c>
      <c r="B56" s="45"/>
      <c r="C56" s="45"/>
      <c r="D56" s="25" t="s">
        <v>22</v>
      </c>
      <c r="E56" s="45"/>
      <c r="F56" s="26">
        <v>24.65</v>
      </c>
      <c r="G56" s="45"/>
      <c r="H56" s="28" t="s">
        <v>22</v>
      </c>
      <c r="I56" s="46"/>
      <c r="J56" s="11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ht="15.75" customHeight="1">
      <c r="A57" s="24" t="s">
        <v>99</v>
      </c>
      <c r="B57" s="45"/>
      <c r="C57" s="45"/>
      <c r="D57" s="25" t="s">
        <v>22</v>
      </c>
      <c r="E57" s="45"/>
      <c r="F57" s="26">
        <v>13.35</v>
      </c>
      <c r="G57" s="45"/>
      <c r="H57" s="28" t="s">
        <v>22</v>
      </c>
      <c r="I57" s="46"/>
      <c r="J57" s="11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ht="15.75" customHeight="1">
      <c r="A58" s="24" t="s">
        <v>100</v>
      </c>
      <c r="B58" s="45"/>
      <c r="C58" s="45"/>
      <c r="D58" s="25" t="s">
        <v>22</v>
      </c>
      <c r="E58" s="45"/>
      <c r="F58" s="26">
        <v>402.23</v>
      </c>
      <c r="G58" s="45"/>
      <c r="H58" s="28" t="s">
        <v>22</v>
      </c>
      <c r="I58" s="46"/>
      <c r="J58" s="11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ht="15.75" customHeight="1">
      <c r="A59" s="24" t="s">
        <v>101</v>
      </c>
      <c r="B59" s="45"/>
      <c r="C59" s="45"/>
      <c r="D59" s="25" t="s">
        <v>22</v>
      </c>
      <c r="E59" s="45"/>
      <c r="F59" s="26">
        <v>21.3</v>
      </c>
      <c r="G59" s="45"/>
      <c r="H59" s="28" t="s">
        <v>22</v>
      </c>
      <c r="I59" s="46"/>
      <c r="J59" s="11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ht="15.75" customHeight="1">
      <c r="A60" s="24" t="s">
        <v>102</v>
      </c>
      <c r="B60" s="45"/>
      <c r="C60" s="45"/>
      <c r="D60" s="25" t="s">
        <v>22</v>
      </c>
      <c r="E60" s="45"/>
      <c r="F60" s="26">
        <v>18.42</v>
      </c>
      <c r="G60" s="45"/>
      <c r="H60" s="28" t="s">
        <v>22</v>
      </c>
      <c r="I60" s="46"/>
      <c r="J60" s="11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ht="15.75" customHeight="1">
      <c r="A61" s="24" t="s">
        <v>103</v>
      </c>
      <c r="B61" s="45"/>
      <c r="C61" s="45"/>
      <c r="D61" s="25" t="s">
        <v>22</v>
      </c>
      <c r="E61" s="45"/>
      <c r="F61" s="26">
        <v>13.48</v>
      </c>
      <c r="G61" s="45"/>
      <c r="H61" s="28" t="s">
        <v>22</v>
      </c>
      <c r="I61" s="46"/>
      <c r="J61" s="11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ht="15.75" customHeight="1">
      <c r="A62" s="24" t="s">
        <v>103</v>
      </c>
      <c r="B62" s="45"/>
      <c r="C62" s="45"/>
      <c r="D62" s="25" t="s">
        <v>22</v>
      </c>
      <c r="E62" s="45"/>
      <c r="F62" s="26">
        <v>55.71</v>
      </c>
      <c r="G62" s="45"/>
      <c r="H62" s="28" t="s">
        <v>22</v>
      </c>
      <c r="I62" s="46"/>
      <c r="J62" s="11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ht="15.75" customHeight="1">
      <c r="A63" s="24" t="s">
        <v>104</v>
      </c>
      <c r="B63" s="45"/>
      <c r="C63" s="45"/>
      <c r="D63" s="25" t="s">
        <v>22</v>
      </c>
      <c r="E63" s="45"/>
      <c r="F63" s="56">
        <f>121.8-92.45</f>
        <v>29.35</v>
      </c>
      <c r="G63" s="45"/>
      <c r="H63" s="28" t="s">
        <v>22</v>
      </c>
      <c r="I63" s="46"/>
      <c r="J63" s="11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ht="15.75" customHeight="1">
      <c r="A64" s="24" t="s">
        <v>105</v>
      </c>
      <c r="B64" s="45"/>
      <c r="C64" s="45"/>
      <c r="D64" s="25" t="s">
        <v>22</v>
      </c>
      <c r="E64" s="45"/>
      <c r="F64" s="26">
        <v>60.28</v>
      </c>
      <c r="G64" s="45"/>
      <c r="H64" s="28" t="s">
        <v>22</v>
      </c>
      <c r="I64" s="46"/>
      <c r="J64" s="11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ht="15.75" customHeight="1">
      <c r="A65" s="24" t="s">
        <v>106</v>
      </c>
      <c r="B65" s="45"/>
      <c r="C65" s="45"/>
      <c r="D65" s="25" t="s">
        <v>22</v>
      </c>
      <c r="E65" s="45"/>
      <c r="F65" s="26">
        <v>33.8</v>
      </c>
      <c r="G65" s="45"/>
      <c r="H65" s="28" t="s">
        <v>22</v>
      </c>
      <c r="I65" s="46"/>
      <c r="J65" s="11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ht="15.75" customHeight="1">
      <c r="A66" s="24" t="s">
        <v>105</v>
      </c>
      <c r="B66" s="45"/>
      <c r="C66" s="45"/>
      <c r="D66" s="25" t="s">
        <v>22</v>
      </c>
      <c r="E66" s="45"/>
      <c r="F66" s="26">
        <v>169.16</v>
      </c>
      <c r="G66" s="45"/>
      <c r="H66" s="28" t="s">
        <v>22</v>
      </c>
      <c r="I66" s="46"/>
      <c r="J66" s="11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ht="15.75" customHeight="1">
      <c r="A67" s="24" t="s">
        <v>107</v>
      </c>
      <c r="B67" s="45"/>
      <c r="C67" s="45"/>
      <c r="D67" s="25" t="s">
        <v>22</v>
      </c>
      <c r="E67" s="45"/>
      <c r="F67" s="26">
        <v>40.89</v>
      </c>
      <c r="G67" s="45"/>
      <c r="H67" s="28" t="s">
        <v>22</v>
      </c>
      <c r="I67" s="46"/>
      <c r="J67" s="11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ht="15.75" customHeight="1">
      <c r="A68" s="24" t="s">
        <v>108</v>
      </c>
      <c r="B68" s="45"/>
      <c r="C68" s="45"/>
      <c r="D68" s="25" t="s">
        <v>22</v>
      </c>
      <c r="E68" s="45"/>
      <c r="F68" s="26">
        <v>11.93</v>
      </c>
      <c r="G68" s="45"/>
      <c r="H68" s="28" t="s">
        <v>22</v>
      </c>
      <c r="I68" s="46"/>
      <c r="J68" s="11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ht="15.75" customHeight="1">
      <c r="A69" s="24" t="s">
        <v>109</v>
      </c>
      <c r="B69" s="45"/>
      <c r="C69" s="45"/>
      <c r="D69" s="25" t="s">
        <v>22</v>
      </c>
      <c r="E69" s="45"/>
      <c r="F69" s="26">
        <v>55.44</v>
      </c>
      <c r="G69" s="45"/>
      <c r="H69" s="28" t="s">
        <v>22</v>
      </c>
      <c r="I69" s="46"/>
      <c r="J69" s="11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ht="15.75" customHeight="1">
      <c r="A70" s="24" t="s">
        <v>110</v>
      </c>
      <c r="B70" s="45"/>
      <c r="C70" s="45"/>
      <c r="D70" s="25" t="s">
        <v>22</v>
      </c>
      <c r="E70" s="45"/>
      <c r="F70" s="26">
        <v>55.44</v>
      </c>
      <c r="G70" s="45"/>
      <c r="H70" s="28" t="s">
        <v>22</v>
      </c>
      <c r="I70" s="46"/>
      <c r="J70" s="11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ht="15.75" customHeight="1">
      <c r="A71" s="24" t="s">
        <v>111</v>
      </c>
      <c r="B71" s="45"/>
      <c r="C71" s="45"/>
      <c r="D71" s="25" t="s">
        <v>22</v>
      </c>
      <c r="E71" s="45"/>
      <c r="F71" s="26">
        <v>30.79</v>
      </c>
      <c r="G71" s="45"/>
      <c r="H71" s="28" t="s">
        <v>22</v>
      </c>
      <c r="I71" s="46"/>
      <c r="J71" s="11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ht="15.75" customHeight="1">
      <c r="A72" s="24" t="s">
        <v>109</v>
      </c>
      <c r="B72" s="45"/>
      <c r="C72" s="45"/>
      <c r="D72" s="25" t="s">
        <v>22</v>
      </c>
      <c r="E72" s="45"/>
      <c r="F72" s="26">
        <v>20.95</v>
      </c>
      <c r="G72" s="45"/>
      <c r="H72" s="28" t="s">
        <v>22</v>
      </c>
      <c r="I72" s="46"/>
      <c r="J72" s="11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ht="15.75" customHeight="1">
      <c r="A73" s="24" t="s">
        <v>109</v>
      </c>
      <c r="B73" s="45"/>
      <c r="C73" s="45"/>
      <c r="D73" s="25" t="s">
        <v>22</v>
      </c>
      <c r="E73" s="45"/>
      <c r="F73" s="26">
        <v>28.97</v>
      </c>
      <c r="G73" s="45"/>
      <c r="H73" s="28" t="s">
        <v>22</v>
      </c>
      <c r="I73" s="46"/>
      <c r="J73" s="11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ht="15.75" customHeight="1">
      <c r="A74" s="24" t="s">
        <v>109</v>
      </c>
      <c r="B74" s="45"/>
      <c r="C74" s="45"/>
      <c r="D74" s="25" t="s">
        <v>22</v>
      </c>
      <c r="E74" s="45"/>
      <c r="F74" s="26">
        <v>17.97</v>
      </c>
      <c r="G74" s="45"/>
      <c r="H74" s="28" t="s">
        <v>22</v>
      </c>
      <c r="I74" s="46"/>
      <c r="J74" s="11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ht="15.75" customHeight="1">
      <c r="A75" s="24" t="s">
        <v>109</v>
      </c>
      <c r="B75" s="45"/>
      <c r="C75" s="45"/>
      <c r="D75" s="25" t="s">
        <v>22</v>
      </c>
      <c r="E75" s="45"/>
      <c r="F75" s="26">
        <v>28.99</v>
      </c>
      <c r="G75" s="45"/>
      <c r="H75" s="28" t="s">
        <v>22</v>
      </c>
      <c r="I75" s="46"/>
      <c r="J75" s="11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ht="15.75" customHeight="1">
      <c r="A76" s="24" t="s">
        <v>109</v>
      </c>
      <c r="B76" s="45"/>
      <c r="C76" s="45"/>
      <c r="D76" s="25" t="s">
        <v>22</v>
      </c>
      <c r="E76" s="45"/>
      <c r="F76" s="26">
        <v>24.98</v>
      </c>
      <c r="G76" s="45"/>
      <c r="H76" s="28" t="s">
        <v>22</v>
      </c>
      <c r="I76" s="46"/>
      <c r="J76" s="11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ht="15.75" customHeight="1">
      <c r="A77" s="24" t="s">
        <v>112</v>
      </c>
      <c r="B77" s="45"/>
      <c r="C77" s="45"/>
      <c r="D77" s="25" t="s">
        <v>53</v>
      </c>
      <c r="E77" s="45"/>
      <c r="F77" s="26">
        <v>25.98</v>
      </c>
      <c r="G77" s="45"/>
      <c r="H77" s="28" t="s">
        <v>22</v>
      </c>
      <c r="I77" s="46"/>
      <c r="J77" s="11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ht="15.75" customHeight="1">
      <c r="A78" s="24" t="s">
        <v>113</v>
      </c>
      <c r="B78" s="45"/>
      <c r="C78" s="45"/>
      <c r="D78" s="25" t="s">
        <v>114</v>
      </c>
      <c r="E78" s="45"/>
      <c r="F78" s="26">
        <v>143.0</v>
      </c>
      <c r="G78" s="45"/>
      <c r="H78" s="28" t="s">
        <v>22</v>
      </c>
      <c r="I78" s="46"/>
      <c r="J78" s="11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ht="15.75" customHeight="1">
      <c r="A79" s="24" t="s">
        <v>115</v>
      </c>
      <c r="B79" s="45"/>
      <c r="C79" s="45"/>
      <c r="D79" s="25" t="s">
        <v>53</v>
      </c>
      <c r="E79" s="45"/>
      <c r="F79" s="26">
        <v>133.37</v>
      </c>
      <c r="G79" s="45"/>
      <c r="H79" s="28" t="s">
        <v>22</v>
      </c>
      <c r="I79" s="46"/>
      <c r="J79" s="11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ht="15.75" customHeight="1">
      <c r="A80" s="24" t="s">
        <v>116</v>
      </c>
      <c r="B80" s="45"/>
      <c r="C80" s="45"/>
      <c r="D80" s="25" t="s">
        <v>66</v>
      </c>
      <c r="E80" s="45"/>
      <c r="F80" s="26">
        <v>133.33</v>
      </c>
      <c r="G80" s="45"/>
      <c r="H80" s="28" t="s">
        <v>22</v>
      </c>
      <c r="I80" s="46"/>
      <c r="J80" s="11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ht="15.75" customHeight="1">
      <c r="A81" s="24" t="s">
        <v>117</v>
      </c>
      <c r="B81" s="45"/>
      <c r="C81" s="45"/>
      <c r="D81" s="25" t="s">
        <v>55</v>
      </c>
      <c r="E81" s="45"/>
      <c r="F81" s="26">
        <v>56.23</v>
      </c>
      <c r="G81" s="45"/>
      <c r="H81" s="28" t="s">
        <v>22</v>
      </c>
      <c r="I81" s="46"/>
      <c r="J81" s="11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ht="15.75" customHeight="1">
      <c r="A82" s="24" t="s">
        <v>118</v>
      </c>
      <c r="B82" s="45"/>
      <c r="C82" s="45"/>
      <c r="D82" s="25" t="s">
        <v>119</v>
      </c>
      <c r="E82" s="45"/>
      <c r="F82" s="26">
        <v>15.52</v>
      </c>
      <c r="G82" s="45"/>
      <c r="H82" s="28" t="s">
        <v>22</v>
      </c>
      <c r="I82" s="46"/>
      <c r="J82" s="11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ht="15.75" customHeight="1">
      <c r="A83" s="24" t="s">
        <v>120</v>
      </c>
      <c r="B83" s="45"/>
      <c r="C83" s="45"/>
      <c r="D83" s="25" t="s">
        <v>66</v>
      </c>
      <c r="E83" s="45"/>
      <c r="F83" s="26">
        <v>57.99</v>
      </c>
      <c r="G83" s="45"/>
      <c r="H83" s="28" t="s">
        <v>22</v>
      </c>
      <c r="I83" s="46"/>
      <c r="J83" s="11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ht="15.75" customHeight="1">
      <c r="A84" s="24" t="s">
        <v>121</v>
      </c>
      <c r="B84" s="45"/>
      <c r="C84" s="45"/>
      <c r="D84" s="25" t="s">
        <v>66</v>
      </c>
      <c r="E84" s="45"/>
      <c r="F84" s="26">
        <v>16.62</v>
      </c>
      <c r="G84" s="45"/>
      <c r="H84" s="28" t="s">
        <v>22</v>
      </c>
      <c r="I84" s="46"/>
      <c r="J84" s="11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ht="15.75" customHeight="1">
      <c r="A85" s="24" t="s">
        <v>122</v>
      </c>
      <c r="B85" s="45"/>
      <c r="C85" s="45"/>
      <c r="D85" s="25" t="s">
        <v>123</v>
      </c>
      <c r="E85" s="45"/>
      <c r="F85" s="26">
        <v>151.84</v>
      </c>
      <c r="G85" s="45"/>
      <c r="H85" s="28" t="s">
        <v>22</v>
      </c>
      <c r="I85" s="46"/>
      <c r="J85" s="11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ht="15.75" customHeight="1">
      <c r="A86" s="24" t="s">
        <v>124</v>
      </c>
      <c r="B86" s="52"/>
      <c r="C86" s="52"/>
      <c r="D86" s="25" t="s">
        <v>125</v>
      </c>
      <c r="E86" s="52"/>
      <c r="F86" s="26">
        <v>46.14</v>
      </c>
      <c r="G86" s="52"/>
      <c r="H86" s="28" t="s">
        <v>69</v>
      </c>
      <c r="I86" s="53"/>
      <c r="J86" s="11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ht="15.75" customHeight="1">
      <c r="A87" s="54" t="s">
        <v>126</v>
      </c>
      <c r="B87" s="19"/>
      <c r="C87" s="19"/>
      <c r="D87" s="19"/>
      <c r="E87" s="19"/>
      <c r="F87" s="19"/>
      <c r="G87" s="19"/>
      <c r="H87" s="19"/>
      <c r="I87" s="20"/>
      <c r="J87" s="11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ht="15.75" customHeight="1">
      <c r="A88" s="24" t="s">
        <v>127</v>
      </c>
      <c r="B88" s="38" t="s">
        <v>128</v>
      </c>
      <c r="C88" s="38" t="s">
        <v>46</v>
      </c>
      <c r="D88" s="25" t="s">
        <v>129</v>
      </c>
      <c r="E88" s="39" t="s">
        <v>74</v>
      </c>
      <c r="F88" s="26">
        <v>81.66</v>
      </c>
      <c r="G88" s="40" t="s">
        <v>23</v>
      </c>
      <c r="H88" s="28" t="s">
        <v>22</v>
      </c>
      <c r="I88" s="55">
        <f>SUM(F88:F91)</f>
        <v>330.14</v>
      </c>
      <c r="J88" s="11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ht="15.75" customHeight="1">
      <c r="A89" s="24" t="s">
        <v>120</v>
      </c>
      <c r="B89" s="45"/>
      <c r="C89" s="45"/>
      <c r="D89" s="25" t="s">
        <v>66</v>
      </c>
      <c r="E89" s="45"/>
      <c r="F89" s="26">
        <v>57.99</v>
      </c>
      <c r="G89" s="45"/>
      <c r="H89" s="28" t="s">
        <v>22</v>
      </c>
      <c r="I89" s="46"/>
      <c r="J89" s="11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ht="15.75" customHeight="1">
      <c r="A90" s="24" t="s">
        <v>130</v>
      </c>
      <c r="B90" s="45"/>
      <c r="C90" s="45"/>
      <c r="D90" s="25" t="s">
        <v>55</v>
      </c>
      <c r="E90" s="45"/>
      <c r="F90" s="26">
        <v>45.0</v>
      </c>
      <c r="G90" s="45"/>
      <c r="H90" s="28" t="s">
        <v>22</v>
      </c>
      <c r="I90" s="46"/>
      <c r="J90" s="11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ht="15.75" customHeight="1">
      <c r="A91" s="24" t="s">
        <v>131</v>
      </c>
      <c r="B91" s="52"/>
      <c r="C91" s="52"/>
      <c r="D91" s="25" t="s">
        <v>53</v>
      </c>
      <c r="E91" s="52"/>
      <c r="F91" s="26">
        <v>145.49</v>
      </c>
      <c r="G91" s="52"/>
      <c r="H91" s="28" t="s">
        <v>22</v>
      </c>
      <c r="I91" s="53"/>
      <c r="J91" s="11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ht="15.75" customHeight="1">
      <c r="A92" s="54" t="s">
        <v>132</v>
      </c>
      <c r="B92" s="19"/>
      <c r="C92" s="19"/>
      <c r="D92" s="19"/>
      <c r="E92" s="19"/>
      <c r="F92" s="19"/>
      <c r="G92" s="19"/>
      <c r="H92" s="19"/>
      <c r="I92" s="20"/>
      <c r="J92" s="11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ht="15.75" customHeight="1">
      <c r="A93" s="24" t="s">
        <v>22</v>
      </c>
      <c r="B93" s="38" t="s">
        <v>133</v>
      </c>
      <c r="C93" s="38" t="s">
        <v>46</v>
      </c>
      <c r="D93" s="25" t="s">
        <v>22</v>
      </c>
      <c r="E93" s="39" t="s">
        <v>134</v>
      </c>
      <c r="F93" s="57">
        <v>0.0</v>
      </c>
      <c r="G93" s="40" t="s">
        <v>23</v>
      </c>
      <c r="H93" s="28" t="s">
        <v>22</v>
      </c>
      <c r="I93" s="58">
        <f>SUM(F93:F96)</f>
        <v>0</v>
      </c>
      <c r="J93" s="11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ht="15.75" customHeight="1">
      <c r="A94" s="24" t="s">
        <v>22</v>
      </c>
      <c r="B94" s="45"/>
      <c r="C94" s="45"/>
      <c r="D94" s="25" t="s">
        <v>22</v>
      </c>
      <c r="E94" s="45"/>
      <c r="F94" s="57">
        <v>0.0</v>
      </c>
      <c r="G94" s="45"/>
      <c r="H94" s="28" t="s">
        <v>22</v>
      </c>
      <c r="I94" s="46"/>
      <c r="J94" s="11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ht="15.75" customHeight="1">
      <c r="A95" s="24" t="s">
        <v>22</v>
      </c>
      <c r="B95" s="45"/>
      <c r="C95" s="45"/>
      <c r="D95" s="25" t="s">
        <v>22</v>
      </c>
      <c r="E95" s="45"/>
      <c r="F95" s="57">
        <v>0.0</v>
      </c>
      <c r="G95" s="45"/>
      <c r="H95" s="28" t="s">
        <v>22</v>
      </c>
      <c r="I95" s="46"/>
      <c r="J95" s="11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ht="15.75" customHeight="1">
      <c r="A96" s="24" t="s">
        <v>22</v>
      </c>
      <c r="B96" s="45"/>
      <c r="C96" s="45"/>
      <c r="D96" s="25" t="s">
        <v>22</v>
      </c>
      <c r="E96" s="45"/>
      <c r="F96" s="57">
        <v>0.0</v>
      </c>
      <c r="G96" s="45"/>
      <c r="H96" s="28" t="s">
        <v>22</v>
      </c>
      <c r="I96" s="46"/>
      <c r="J96" s="11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ht="15.75" customHeight="1">
      <c r="A97" s="24" t="s">
        <v>22</v>
      </c>
      <c r="B97" s="45"/>
      <c r="C97" s="45"/>
      <c r="D97" s="25" t="s">
        <v>22</v>
      </c>
      <c r="E97" s="45"/>
      <c r="F97" s="57">
        <v>0.0</v>
      </c>
      <c r="G97" s="45"/>
      <c r="H97" s="28" t="s">
        <v>22</v>
      </c>
      <c r="I97" s="46"/>
      <c r="J97" s="11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ht="15.75" customHeight="1">
      <c r="A98" s="24" t="s">
        <v>22</v>
      </c>
      <c r="B98" s="45"/>
      <c r="C98" s="45"/>
      <c r="D98" s="25" t="s">
        <v>22</v>
      </c>
      <c r="E98" s="45"/>
      <c r="F98" s="57">
        <v>0.0</v>
      </c>
      <c r="G98" s="45"/>
      <c r="H98" s="28" t="s">
        <v>22</v>
      </c>
      <c r="I98" s="46"/>
      <c r="J98" s="11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ht="15.75" customHeight="1">
      <c r="A99" s="24" t="s">
        <v>22</v>
      </c>
      <c r="B99" s="45"/>
      <c r="C99" s="45"/>
      <c r="D99" s="25" t="s">
        <v>22</v>
      </c>
      <c r="E99" s="45"/>
      <c r="F99" s="57">
        <v>0.0</v>
      </c>
      <c r="G99" s="45"/>
      <c r="H99" s="28" t="s">
        <v>22</v>
      </c>
      <c r="I99" s="46"/>
      <c r="J99" s="11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ht="15.75" customHeight="1">
      <c r="A100" s="24" t="s">
        <v>22</v>
      </c>
      <c r="B100" s="45"/>
      <c r="C100" s="45"/>
      <c r="D100" s="25" t="s">
        <v>22</v>
      </c>
      <c r="E100" s="45"/>
      <c r="F100" s="57">
        <v>0.0</v>
      </c>
      <c r="G100" s="45"/>
      <c r="H100" s="28" t="s">
        <v>22</v>
      </c>
      <c r="I100" s="46"/>
      <c r="J100" s="11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ht="15.75" customHeight="1">
      <c r="A101" s="24" t="s">
        <v>22</v>
      </c>
      <c r="B101" s="45"/>
      <c r="C101" s="45"/>
      <c r="D101" s="25" t="s">
        <v>22</v>
      </c>
      <c r="E101" s="45"/>
      <c r="F101" s="57">
        <v>0.0</v>
      </c>
      <c r="G101" s="45"/>
      <c r="H101" s="28" t="s">
        <v>22</v>
      </c>
      <c r="I101" s="46"/>
      <c r="J101" s="11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ht="15.75" customHeight="1">
      <c r="A102" s="24" t="s">
        <v>22</v>
      </c>
      <c r="B102" s="52"/>
      <c r="C102" s="52"/>
      <c r="D102" s="25" t="s">
        <v>22</v>
      </c>
      <c r="E102" s="52"/>
      <c r="F102" s="57">
        <v>0.0</v>
      </c>
      <c r="G102" s="52"/>
      <c r="H102" s="28" t="s">
        <v>22</v>
      </c>
      <c r="I102" s="53"/>
      <c r="J102" s="11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ht="15.75" customHeight="1">
      <c r="A103" s="18" t="s">
        <v>135</v>
      </c>
      <c r="B103" s="19"/>
      <c r="C103" s="19"/>
      <c r="D103" s="19"/>
      <c r="E103" s="19"/>
      <c r="F103" s="19"/>
      <c r="G103" s="19"/>
      <c r="H103" s="19"/>
      <c r="I103" s="20"/>
      <c r="J103" s="11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ht="15.75" customHeight="1">
      <c r="A104" s="59" t="s">
        <v>136</v>
      </c>
      <c r="B104" s="60" t="s">
        <v>137</v>
      </c>
      <c r="C104" s="25" t="s">
        <v>46</v>
      </c>
      <c r="D104" s="60" t="s">
        <v>22</v>
      </c>
      <c r="E104" s="60" t="s">
        <v>74</v>
      </c>
      <c r="F104" s="28">
        <v>45.6</v>
      </c>
      <c r="G104" s="27" t="s">
        <v>23</v>
      </c>
      <c r="H104" s="28" t="s">
        <v>22</v>
      </c>
      <c r="I104" s="61">
        <f>SUM(F104)</f>
        <v>45.6</v>
      </c>
      <c r="J104" s="11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ht="15.75" customHeight="1">
      <c r="A105" s="54" t="s">
        <v>138</v>
      </c>
      <c r="B105" s="19"/>
      <c r="C105" s="19"/>
      <c r="D105" s="19"/>
      <c r="E105" s="19"/>
      <c r="F105" s="19"/>
      <c r="G105" s="19"/>
      <c r="H105" s="19"/>
      <c r="I105" s="20"/>
      <c r="J105" s="11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ht="15.75" customHeight="1">
      <c r="A106" s="24" t="s">
        <v>139</v>
      </c>
      <c r="B106" s="25" t="s">
        <v>140</v>
      </c>
      <c r="C106" s="25" t="s">
        <v>35</v>
      </c>
      <c r="D106" s="25" t="s">
        <v>22</v>
      </c>
      <c r="E106" s="60" t="s">
        <v>74</v>
      </c>
      <c r="F106" s="26">
        <v>856.34</v>
      </c>
      <c r="G106" s="27" t="s">
        <v>23</v>
      </c>
      <c r="H106" s="28" t="s">
        <v>22</v>
      </c>
      <c r="I106" s="29"/>
      <c r="J106" s="11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ht="15.75" customHeight="1">
      <c r="A107" s="59" t="s">
        <v>141</v>
      </c>
      <c r="B107" s="60" t="s">
        <v>22</v>
      </c>
      <c r="C107" s="62"/>
      <c r="D107" s="60"/>
      <c r="E107" s="60" t="s">
        <v>22</v>
      </c>
      <c r="F107" s="28">
        <v>90.0</v>
      </c>
      <c r="G107" s="27" t="s">
        <v>23</v>
      </c>
      <c r="H107" s="28" t="s">
        <v>22</v>
      </c>
      <c r="I107" s="29"/>
      <c r="J107" s="11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ht="15.75" customHeight="1">
      <c r="A108" s="24" t="s">
        <v>142</v>
      </c>
      <c r="B108" s="25" t="s">
        <v>143</v>
      </c>
      <c r="C108" s="62" t="s">
        <v>144</v>
      </c>
      <c r="D108" s="60" t="s">
        <v>22</v>
      </c>
      <c r="E108" s="60" t="s">
        <v>145</v>
      </c>
      <c r="F108" s="26">
        <v>40.9</v>
      </c>
      <c r="G108" s="27" t="s">
        <v>23</v>
      </c>
      <c r="H108" s="28" t="s">
        <v>22</v>
      </c>
      <c r="I108" s="29"/>
      <c r="J108" s="11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ht="15.75" customHeight="1">
      <c r="A109" s="24" t="s">
        <v>146</v>
      </c>
      <c r="B109" s="25" t="s">
        <v>147</v>
      </c>
      <c r="C109" s="25" t="s">
        <v>148</v>
      </c>
      <c r="D109" s="60" t="s">
        <v>22</v>
      </c>
      <c r="E109" s="27" t="s">
        <v>74</v>
      </c>
      <c r="F109" s="26">
        <v>100.0</v>
      </c>
      <c r="G109" s="27" t="s">
        <v>23</v>
      </c>
      <c r="H109" s="28" t="s">
        <v>22</v>
      </c>
      <c r="I109" s="29"/>
      <c r="J109" s="11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ht="15.75" customHeight="1">
      <c r="A110" s="59" t="s">
        <v>149</v>
      </c>
      <c r="B110" s="25" t="s">
        <v>109</v>
      </c>
      <c r="C110" s="25" t="s">
        <v>148</v>
      </c>
      <c r="D110" s="60" t="s">
        <v>22</v>
      </c>
      <c r="E110" s="60" t="s">
        <v>22</v>
      </c>
      <c r="F110" s="57">
        <f>8*14</f>
        <v>112</v>
      </c>
      <c r="G110" s="27" t="s">
        <v>23</v>
      </c>
      <c r="H110" s="28">
        <f>H1-F110</f>
        <v>3263.82</v>
      </c>
      <c r="I110" s="29"/>
      <c r="J110" s="11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ht="15.75" customHeight="1">
      <c r="A111" s="24" t="s">
        <v>150</v>
      </c>
      <c r="B111" s="25" t="s">
        <v>151</v>
      </c>
      <c r="C111" s="25" t="s">
        <v>148</v>
      </c>
      <c r="D111" s="60" t="s">
        <v>22</v>
      </c>
      <c r="E111" s="60" t="s">
        <v>22</v>
      </c>
      <c r="F111" s="57">
        <v>80.0</v>
      </c>
      <c r="G111" s="27" t="s">
        <v>23</v>
      </c>
      <c r="H111" s="28" t="s">
        <v>22</v>
      </c>
      <c r="I111" s="29"/>
      <c r="J111" s="11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ht="15.75" customHeight="1">
      <c r="A112" s="59" t="s">
        <v>152</v>
      </c>
      <c r="B112" s="60" t="s">
        <v>22</v>
      </c>
      <c r="C112" s="25" t="s">
        <v>148</v>
      </c>
      <c r="D112" s="60" t="s">
        <v>22</v>
      </c>
      <c r="E112" s="60" t="s">
        <v>22</v>
      </c>
      <c r="F112" s="57">
        <v>150.0</v>
      </c>
      <c r="G112" s="27" t="s">
        <v>23</v>
      </c>
      <c r="H112" s="28" t="s">
        <v>22</v>
      </c>
      <c r="I112" s="29"/>
      <c r="J112" s="11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ht="15.75" customHeight="1">
      <c r="A113" s="59" t="s">
        <v>153</v>
      </c>
      <c r="B113" s="60" t="s">
        <v>22</v>
      </c>
      <c r="C113" s="25" t="s">
        <v>148</v>
      </c>
      <c r="D113" s="60" t="s">
        <v>22</v>
      </c>
      <c r="E113" s="60" t="s">
        <v>22</v>
      </c>
      <c r="F113" s="57">
        <v>176.0</v>
      </c>
      <c r="G113" s="27" t="s">
        <v>23</v>
      </c>
      <c r="H113" s="28" t="s">
        <v>22</v>
      </c>
      <c r="I113" s="29"/>
      <c r="J113" s="11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ht="15.75" customHeight="1">
      <c r="A114" s="59" t="s">
        <v>153</v>
      </c>
      <c r="B114" s="60" t="s">
        <v>22</v>
      </c>
      <c r="C114" s="25" t="s">
        <v>148</v>
      </c>
      <c r="D114" s="60" t="s">
        <v>22</v>
      </c>
      <c r="E114" s="60" t="s">
        <v>22</v>
      </c>
      <c r="F114" s="57">
        <v>150.0</v>
      </c>
      <c r="G114" s="27" t="s">
        <v>154</v>
      </c>
      <c r="H114" s="28">
        <f>H110-F114</f>
        <v>3113.82</v>
      </c>
      <c r="I114" s="29"/>
      <c r="J114" s="11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ht="15.75" customHeight="1">
      <c r="A115" s="54" t="s">
        <v>155</v>
      </c>
      <c r="B115" s="19"/>
      <c r="C115" s="19"/>
      <c r="D115" s="19"/>
      <c r="E115" s="19"/>
      <c r="F115" s="19"/>
      <c r="G115" s="19"/>
      <c r="H115" s="19"/>
      <c r="I115" s="20"/>
      <c r="J115" s="11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ht="15.75" customHeight="1">
      <c r="A116" s="59" t="s">
        <v>156</v>
      </c>
      <c r="B116" s="25" t="s">
        <v>157</v>
      </c>
      <c r="C116" s="25" t="s">
        <v>148</v>
      </c>
      <c r="D116" s="60" t="s">
        <v>22</v>
      </c>
      <c r="E116" s="60" t="s">
        <v>22</v>
      </c>
      <c r="F116" s="28">
        <f>8*22</f>
        <v>176</v>
      </c>
      <c r="G116" s="27" t="s">
        <v>23</v>
      </c>
      <c r="H116" s="28">
        <f>H114-F116</f>
        <v>2937.82</v>
      </c>
      <c r="I116" s="29"/>
      <c r="J116" s="11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ht="15.75" customHeight="1">
      <c r="A117" s="59" t="s">
        <v>158</v>
      </c>
      <c r="B117" s="25" t="s">
        <v>109</v>
      </c>
      <c r="C117" s="25" t="s">
        <v>148</v>
      </c>
      <c r="D117" s="60" t="s">
        <v>22</v>
      </c>
      <c r="E117" s="60" t="s">
        <v>22</v>
      </c>
      <c r="F117" s="28">
        <f>4*60</f>
        <v>240</v>
      </c>
      <c r="G117" s="27" t="s">
        <v>23</v>
      </c>
      <c r="H117" s="28">
        <f t="shared" ref="H117:H119" si="2">H116-F117</f>
        <v>2697.82</v>
      </c>
      <c r="I117" s="29"/>
      <c r="J117" s="11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ht="15.75" customHeight="1">
      <c r="A118" s="59" t="s">
        <v>159</v>
      </c>
      <c r="B118" s="60" t="s">
        <v>160</v>
      </c>
      <c r="C118" s="25" t="s">
        <v>148</v>
      </c>
      <c r="D118" s="60" t="s">
        <v>22</v>
      </c>
      <c r="E118" s="60" t="s">
        <v>22</v>
      </c>
      <c r="F118" s="28">
        <f>10*12</f>
        <v>120</v>
      </c>
      <c r="G118" s="27" t="s">
        <v>154</v>
      </c>
      <c r="H118" s="28">
        <f t="shared" si="2"/>
        <v>2577.82</v>
      </c>
      <c r="I118" s="29"/>
      <c r="J118" s="11"/>
      <c r="K118" s="12"/>
      <c r="L118" s="51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ht="15.75" customHeight="1">
      <c r="A119" s="59" t="s">
        <v>161</v>
      </c>
      <c r="B119" s="60" t="s">
        <v>22</v>
      </c>
      <c r="C119" s="25" t="s">
        <v>148</v>
      </c>
      <c r="D119" s="60" t="s">
        <v>22</v>
      </c>
      <c r="E119" s="60" t="s">
        <v>22</v>
      </c>
      <c r="F119" s="28">
        <v>0.0</v>
      </c>
      <c r="G119" s="27" t="s">
        <v>154</v>
      </c>
      <c r="H119" s="28">
        <f t="shared" si="2"/>
        <v>2577.82</v>
      </c>
      <c r="I119" s="29"/>
      <c r="J119" s="11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ht="15.75" customHeight="1">
      <c r="A120" s="63" t="s">
        <v>162</v>
      </c>
      <c r="B120" s="64"/>
      <c r="C120" s="64"/>
      <c r="D120" s="64"/>
      <c r="E120" s="65"/>
      <c r="F120" s="66">
        <v>0.0</v>
      </c>
      <c r="G120" s="23"/>
      <c r="H120" s="23"/>
      <c r="I120" s="23"/>
      <c r="J120" s="11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1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ht="15.75" customHeight="1">
      <c r="A122" s="67" t="s">
        <v>163</v>
      </c>
      <c r="B122" s="68"/>
      <c r="C122" s="69">
        <f>F120</f>
        <v>0</v>
      </c>
      <c r="D122" s="70" t="s">
        <v>164</v>
      </c>
      <c r="E122" s="12"/>
      <c r="F122" s="12"/>
      <c r="G122" s="12"/>
      <c r="H122" s="71">
        <f>H119</f>
        <v>2577.82</v>
      </c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ht="15.75" customHeight="1">
      <c r="A123" s="72" t="s">
        <v>165</v>
      </c>
      <c r="B123" s="19"/>
      <c r="C123" s="19"/>
      <c r="D123" s="20"/>
      <c r="E123" s="11"/>
      <c r="F123" s="12"/>
      <c r="G123" s="71">
        <f>H122-H123</f>
        <v>1162.17</v>
      </c>
      <c r="H123" s="51">
        <v>1415.65</v>
      </c>
      <c r="I123" s="51" t="s">
        <v>166</v>
      </c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ht="15.75" customHeight="1">
      <c r="A124" s="30" t="s">
        <v>167</v>
      </c>
      <c r="B124" s="73">
        <v>0.0</v>
      </c>
      <c r="C124" s="73">
        <f>C122-B124</f>
        <v>0</v>
      </c>
      <c r="D124" s="74" t="b">
        <v>0</v>
      </c>
      <c r="E124" s="11"/>
      <c r="F124" s="71">
        <f>G123-G124</f>
        <v>620.16</v>
      </c>
      <c r="G124" s="51">
        <v>542.01</v>
      </c>
      <c r="H124" s="51" t="s">
        <v>168</v>
      </c>
      <c r="I124" s="51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ht="15.75" customHeight="1">
      <c r="A125" s="30" t="s">
        <v>169</v>
      </c>
      <c r="B125" s="73">
        <v>0.0</v>
      </c>
      <c r="C125" s="73">
        <f>C124-B125</f>
        <v>0</v>
      </c>
      <c r="D125" s="74" t="b">
        <v>0</v>
      </c>
      <c r="E125" s="75">
        <f>F124-F125</f>
        <v>298.16</v>
      </c>
      <c r="F125" s="51">
        <v>322.0</v>
      </c>
      <c r="G125" s="51" t="s">
        <v>170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ht="15.75" customHeight="1">
      <c r="A126" s="76" t="s">
        <v>171</v>
      </c>
      <c r="B126" s="19"/>
      <c r="C126" s="19"/>
      <c r="D126" s="20"/>
      <c r="E126" s="77">
        <v>298.16</v>
      </c>
      <c r="F126" s="51" t="s">
        <v>172</v>
      </c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ht="15.75" customHeight="1">
      <c r="A127" s="30" t="s">
        <v>173</v>
      </c>
      <c r="B127" s="73">
        <v>0.0</v>
      </c>
      <c r="C127" s="73">
        <f>C126-B127</f>
        <v>0</v>
      </c>
      <c r="D127" s="74" t="b">
        <v>0</v>
      </c>
      <c r="E127" s="11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ht="15.75" customHeight="1">
      <c r="A128" s="30" t="s">
        <v>174</v>
      </c>
      <c r="B128" s="73">
        <v>0.0</v>
      </c>
      <c r="C128" s="73">
        <f>C126-B128</f>
        <v>0</v>
      </c>
      <c r="D128" s="74" t="b">
        <v>0</v>
      </c>
      <c r="E128" s="11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ht="15.75" customHeight="1">
      <c r="A129" s="76" t="s">
        <v>175</v>
      </c>
      <c r="B129" s="19"/>
      <c r="C129" s="19"/>
      <c r="D129" s="20"/>
      <c r="E129" s="11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ht="15.75" customHeight="1">
      <c r="A130" s="30" t="s">
        <v>176</v>
      </c>
      <c r="B130" s="73">
        <v>0.0</v>
      </c>
      <c r="C130" s="73">
        <f>C128-B130</f>
        <v>0</v>
      </c>
      <c r="D130" s="74" t="b">
        <v>0</v>
      </c>
      <c r="E130" s="11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ht="15.75" customHeight="1">
      <c r="A131" s="30" t="s">
        <v>177</v>
      </c>
      <c r="B131" s="73">
        <v>0.0</v>
      </c>
      <c r="C131" s="73">
        <f>C130-B131</f>
        <v>0</v>
      </c>
      <c r="D131" s="74" t="b">
        <v>0</v>
      </c>
      <c r="E131" s="11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ht="15.75" customHeight="1">
      <c r="A132" s="76" t="s">
        <v>178</v>
      </c>
      <c r="B132" s="19"/>
      <c r="C132" s="19"/>
      <c r="D132" s="20"/>
      <c r="E132" s="11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ht="15.75" customHeight="1">
      <c r="A133" s="30" t="s">
        <v>179</v>
      </c>
      <c r="B133" s="73">
        <v>0.0</v>
      </c>
      <c r="C133" s="73">
        <f>C132-B133</f>
        <v>0</v>
      </c>
      <c r="D133" s="74" t="b">
        <v>0</v>
      </c>
      <c r="E133" s="11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ht="15.75" customHeight="1">
      <c r="A134" s="30" t="s">
        <v>180</v>
      </c>
      <c r="B134" s="73">
        <v>0.0</v>
      </c>
      <c r="C134" s="73">
        <f>C132-B134</f>
        <v>0</v>
      </c>
      <c r="D134" s="74" t="b">
        <v>0</v>
      </c>
      <c r="E134" s="11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ht="15.75" customHeight="1">
      <c r="A135" s="30" t="s">
        <v>181</v>
      </c>
      <c r="B135" s="73">
        <v>0.0</v>
      </c>
      <c r="C135" s="73">
        <f>C134-B135</f>
        <v>0</v>
      </c>
      <c r="D135" s="74" t="b">
        <v>0</v>
      </c>
      <c r="E135" s="11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ht="15.75" customHeight="1">
      <c r="A136" s="30" t="s">
        <v>182</v>
      </c>
      <c r="B136" s="73">
        <v>0.0</v>
      </c>
      <c r="C136" s="73">
        <f>C134-B136</f>
        <v>0</v>
      </c>
      <c r="D136" s="74" t="b">
        <v>0</v>
      </c>
      <c r="E136" s="11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ht="15.75" customHeight="1">
      <c r="A137" s="30" t="s">
        <v>183</v>
      </c>
      <c r="B137" s="73">
        <v>0.0</v>
      </c>
      <c r="C137" s="73">
        <f>C136-B137</f>
        <v>0</v>
      </c>
      <c r="D137" s="74" t="b">
        <v>0</v>
      </c>
      <c r="E137" s="11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ht="15.75" customHeight="1">
      <c r="A138" s="30" t="s">
        <v>184</v>
      </c>
      <c r="B138" s="73">
        <v>0.0</v>
      </c>
      <c r="C138" s="73">
        <f>C136-B138</f>
        <v>0</v>
      </c>
      <c r="D138" s="74" t="b">
        <v>0</v>
      </c>
      <c r="E138" s="11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ht="15.75" customHeight="1">
      <c r="A139" s="30" t="s">
        <v>185</v>
      </c>
      <c r="B139" s="73">
        <v>0.0</v>
      </c>
      <c r="C139" s="73">
        <f>C138-B139</f>
        <v>0</v>
      </c>
      <c r="D139" s="74" t="b">
        <v>0</v>
      </c>
      <c r="E139" s="11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ht="15.75" customHeight="1">
      <c r="A140" s="78" t="s">
        <v>186</v>
      </c>
      <c r="B140" s="79">
        <v>0.0</v>
      </c>
      <c r="C140" s="79">
        <f>C138-B140</f>
        <v>0</v>
      </c>
      <c r="D140" s="80" t="b">
        <v>0</v>
      </c>
      <c r="E140" s="11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ht="15.75" customHeight="1">
      <c r="A141" s="81"/>
      <c r="B141" s="47"/>
      <c r="C141" s="47"/>
      <c r="D141" s="47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ht="15.75" customHeight="1">
      <c r="A142" s="8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ht="15.75" customHeight="1">
      <c r="A143" s="8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ht="15.75" customHeight="1">
      <c r="A144" s="8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ht="15.75" customHeight="1">
      <c r="A145" s="8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ht="15.75" customHeight="1">
      <c r="A146" s="8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ht="15.75" customHeight="1">
      <c r="A147" s="8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ht="15.75" customHeight="1">
      <c r="A148" s="8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ht="15.75" customHeight="1">
      <c r="A149" s="8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ht="15.75" customHeight="1">
      <c r="A150" s="8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ht="15.75" customHeight="1">
      <c r="A151" s="8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ht="15.75" customHeight="1">
      <c r="A152" s="8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ht="15.75" customHeight="1">
      <c r="A153" s="8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 ht="15.75" customHeight="1">
      <c r="A154" s="8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ht="15.75" customHeight="1">
      <c r="A155" s="8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ht="15.75" customHeight="1">
      <c r="A156" s="8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ht="15.75" customHeight="1">
      <c r="A157" s="8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ht="15.75" customHeight="1">
      <c r="A158" s="8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ht="15.75" customHeight="1">
      <c r="A159" s="8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ht="15.75" customHeight="1">
      <c r="A160" s="8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ht="15.75" customHeight="1">
      <c r="A161" s="8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ht="15.75" customHeight="1">
      <c r="A162" s="8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ht="15.75" customHeight="1">
      <c r="A163" s="8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ht="15.75" customHeight="1">
      <c r="A164" s="8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ht="15.75" customHeight="1">
      <c r="A165" s="8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ht="15.75" customHeight="1">
      <c r="A166" s="8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ht="15.75" customHeight="1">
      <c r="A167" s="8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ht="15.75" customHeight="1">
      <c r="A168" s="8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ht="15.75" customHeight="1">
      <c r="A169" s="8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ht="15.75" customHeight="1">
      <c r="A170" s="8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ht="15.75" customHeight="1">
      <c r="A171" s="8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ht="15.75" customHeight="1">
      <c r="A172" s="8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ht="15.75" customHeight="1">
      <c r="A173" s="8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ht="15.75" customHeight="1">
      <c r="A174" s="8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ht="15.75" customHeight="1">
      <c r="A175" s="8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ht="15.75" customHeight="1">
      <c r="A176" s="8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ht="15.75" customHeight="1">
      <c r="A177" s="8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ht="15.75" customHeight="1">
      <c r="A178" s="8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</row>
    <row r="179" ht="15.75" customHeight="1">
      <c r="A179" s="8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</row>
    <row r="180" ht="15.75" customHeight="1">
      <c r="A180" s="8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</row>
    <row r="181" ht="15.75" customHeight="1">
      <c r="A181" s="8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</row>
    <row r="182" ht="15.75" customHeight="1">
      <c r="A182" s="8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</row>
    <row r="183" ht="15.75" customHeight="1">
      <c r="A183" s="8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</row>
    <row r="184" ht="15.75" customHeight="1">
      <c r="A184" s="8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</row>
    <row r="185" ht="15.75" customHeight="1">
      <c r="A185" s="8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</row>
    <row r="186" ht="15.75" customHeight="1">
      <c r="A186" s="8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</row>
    <row r="187" ht="15.75" customHeight="1">
      <c r="A187" s="8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</row>
    <row r="188" ht="15.75" customHeight="1">
      <c r="A188" s="8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</row>
    <row r="189" ht="15.75" customHeight="1">
      <c r="A189" s="8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</row>
    <row r="190" ht="15.75" customHeight="1">
      <c r="A190" s="8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</row>
    <row r="191" ht="15.75" customHeight="1">
      <c r="A191" s="8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</row>
    <row r="192" ht="15.75" customHeight="1">
      <c r="A192" s="8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</row>
    <row r="193" ht="15.75" customHeight="1">
      <c r="A193" s="8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</row>
    <row r="194" ht="15.75" customHeight="1">
      <c r="A194" s="8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</row>
    <row r="195" ht="15.75" customHeight="1">
      <c r="A195" s="8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</row>
    <row r="196" ht="15.75" customHeight="1">
      <c r="A196" s="8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</row>
    <row r="197" ht="15.75" customHeight="1">
      <c r="A197" s="8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</row>
    <row r="198" ht="15.75" customHeight="1">
      <c r="A198" s="8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</row>
    <row r="199" ht="15.75" customHeight="1">
      <c r="A199" s="8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</row>
    <row r="200" ht="15.75" customHeight="1">
      <c r="A200" s="8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</row>
    <row r="201" ht="15.75" customHeight="1">
      <c r="A201" s="8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</row>
    <row r="202" ht="15.75" customHeight="1">
      <c r="A202" s="8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</row>
    <row r="203" ht="15.75" customHeight="1">
      <c r="A203" s="8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</row>
    <row r="204" ht="15.75" customHeight="1">
      <c r="A204" s="8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</row>
    <row r="205" ht="15.75" customHeight="1">
      <c r="A205" s="8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</row>
    <row r="206" ht="15.75" customHeight="1">
      <c r="A206" s="8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</row>
    <row r="207" ht="15.75" customHeight="1">
      <c r="A207" s="8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</row>
    <row r="208" ht="15.75" customHeight="1">
      <c r="A208" s="8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</row>
    <row r="209" ht="15.75" customHeight="1">
      <c r="A209" s="8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</row>
    <row r="210" ht="15.75" customHeight="1">
      <c r="A210" s="8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</row>
    <row r="211" ht="15.75" customHeight="1">
      <c r="A211" s="8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</row>
    <row r="212" ht="15.75" customHeight="1">
      <c r="A212" s="8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</row>
    <row r="213" ht="15.75" customHeight="1">
      <c r="A213" s="8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</row>
    <row r="214" ht="15.75" customHeight="1">
      <c r="A214" s="8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</row>
    <row r="215" ht="15.75" customHeight="1">
      <c r="A215" s="8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</row>
    <row r="216" ht="15.75" customHeight="1">
      <c r="A216" s="8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</row>
    <row r="217" ht="15.75" customHeight="1">
      <c r="A217" s="8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</row>
    <row r="218" ht="15.75" customHeight="1">
      <c r="A218" s="8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 ht="15.75" customHeight="1">
      <c r="A219" s="8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 ht="15.75" customHeight="1">
      <c r="A220" s="8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 ht="15.75" customHeight="1">
      <c r="A221" s="8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 ht="15.75" customHeight="1">
      <c r="A222" s="8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 ht="15.75" customHeight="1">
      <c r="A223" s="8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 ht="15.75" customHeight="1">
      <c r="A224" s="8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 ht="15.75" customHeight="1">
      <c r="A225" s="8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 ht="15.75" customHeight="1">
      <c r="A226" s="8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 ht="15.75" customHeight="1">
      <c r="A227" s="8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 ht="15.75" customHeight="1">
      <c r="A228" s="8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 ht="15.75" customHeight="1">
      <c r="A229" s="8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 ht="15.75" customHeight="1">
      <c r="A230" s="8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 ht="15.75" customHeight="1">
      <c r="A231" s="8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 ht="15.75" customHeight="1">
      <c r="A232" s="8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 ht="15.75" customHeight="1">
      <c r="A233" s="8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 ht="15.75" customHeight="1">
      <c r="A234" s="8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 ht="15.75" customHeight="1">
      <c r="A235" s="8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 ht="15.75" customHeight="1">
      <c r="A236" s="8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 ht="15.75" customHeight="1">
      <c r="A237" s="8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 ht="15.75" customHeight="1">
      <c r="A238" s="8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 ht="15.75" customHeight="1">
      <c r="A239" s="8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 ht="15.75" customHeight="1">
      <c r="A240" s="8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 ht="15.75" customHeight="1">
      <c r="A241" s="8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 ht="15.75" customHeight="1">
      <c r="A242" s="8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 ht="15.75" customHeight="1">
      <c r="A243" s="8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 ht="15.75" customHeight="1">
      <c r="A244" s="8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 ht="15.75" customHeight="1">
      <c r="A245" s="8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 ht="15.75" customHeight="1">
      <c r="A246" s="8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 ht="15.75" customHeight="1">
      <c r="A247" s="8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 ht="15.75" customHeight="1">
      <c r="A248" s="8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 ht="15.75" customHeight="1">
      <c r="A249" s="8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 ht="15.75" customHeight="1">
      <c r="A250" s="8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 ht="15.75" customHeight="1">
      <c r="A251" s="8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 ht="15.75" customHeight="1">
      <c r="A252" s="8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 ht="15.75" customHeight="1">
      <c r="A253" s="8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 ht="15.75" customHeight="1">
      <c r="A254" s="8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 ht="15.75" customHeight="1">
      <c r="A255" s="8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 ht="15.75" customHeight="1">
      <c r="A256" s="8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 ht="15.75" customHeight="1">
      <c r="A257" s="8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 ht="15.75" customHeight="1">
      <c r="A258" s="8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 ht="15.75" customHeight="1">
      <c r="A259" s="8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 ht="15.75" customHeight="1">
      <c r="A260" s="8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 ht="15.75" customHeight="1">
      <c r="A261" s="8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 ht="15.75" customHeight="1">
      <c r="A262" s="8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 ht="15.75" customHeight="1">
      <c r="A263" s="8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 ht="15.75" customHeight="1">
      <c r="A264" s="8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 ht="15.75" customHeight="1">
      <c r="A265" s="8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 ht="15.75" customHeight="1">
      <c r="A266" s="8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 ht="15.75" customHeight="1">
      <c r="A267" s="8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 ht="15.75" customHeight="1">
      <c r="A268" s="8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 ht="15.75" customHeight="1">
      <c r="A269" s="8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 ht="15.75" customHeight="1">
      <c r="A270" s="8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 ht="15.75" customHeight="1">
      <c r="A271" s="8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 ht="15.75" customHeight="1">
      <c r="A272" s="8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 ht="15.75" customHeight="1">
      <c r="A273" s="8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 ht="15.75" customHeight="1">
      <c r="A274" s="8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 ht="15.75" customHeight="1">
      <c r="A275" s="8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 ht="15.75" customHeight="1">
      <c r="A276" s="8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 ht="15.75" customHeight="1">
      <c r="A277" s="8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 ht="15.75" customHeight="1">
      <c r="A278" s="8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 ht="15.75" customHeight="1">
      <c r="A279" s="8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 ht="15.75" customHeight="1">
      <c r="A280" s="8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 ht="15.75" customHeight="1">
      <c r="A281" s="8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 ht="15.75" customHeight="1">
      <c r="A282" s="8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 ht="15.75" customHeight="1">
      <c r="A283" s="8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 ht="15.75" customHeight="1">
      <c r="A284" s="8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 ht="15.75" customHeight="1">
      <c r="A285" s="8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 ht="15.75" customHeight="1">
      <c r="A286" s="8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 ht="15.75" customHeight="1">
      <c r="A287" s="8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 ht="15.75" customHeight="1">
      <c r="A288" s="8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 ht="15.75" customHeight="1">
      <c r="A289" s="8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 ht="15.75" customHeight="1">
      <c r="A290" s="8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 ht="15.75" customHeight="1">
      <c r="A291" s="8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 ht="15.75" customHeight="1">
      <c r="A292" s="8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 ht="15.75" customHeight="1">
      <c r="A293" s="8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 ht="15.75" customHeight="1">
      <c r="A294" s="8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 ht="15.75" customHeight="1">
      <c r="A295" s="8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 ht="15.75" customHeight="1">
      <c r="A296" s="8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 ht="15.75" customHeight="1">
      <c r="A297" s="8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 ht="15.75" customHeight="1">
      <c r="A298" s="8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 ht="15.75" customHeight="1">
      <c r="A299" s="8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 ht="15.75" customHeight="1">
      <c r="A300" s="8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 ht="15.75" customHeight="1">
      <c r="A301" s="8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 ht="15.75" customHeight="1">
      <c r="A302" s="8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 ht="15.75" customHeight="1">
      <c r="A303" s="8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 ht="15.75" customHeight="1">
      <c r="A304" s="8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 ht="15.75" customHeight="1">
      <c r="A305" s="8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 ht="15.75" customHeight="1">
      <c r="A306" s="8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 ht="15.75" customHeight="1">
      <c r="A307" s="8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 ht="15.75" customHeight="1">
      <c r="A308" s="8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 ht="15.75" customHeight="1">
      <c r="A309" s="8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 ht="15.75" customHeight="1">
      <c r="A310" s="8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 ht="15.75" customHeight="1">
      <c r="A311" s="8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 ht="15.75" customHeight="1">
      <c r="A312" s="8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 ht="15.75" customHeight="1">
      <c r="A313" s="8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 ht="15.75" customHeight="1">
      <c r="A314" s="8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 ht="15.75" customHeight="1">
      <c r="A315" s="8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 ht="15.75" customHeight="1">
      <c r="A316" s="8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 ht="15.75" customHeight="1">
      <c r="A317" s="8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 ht="15.75" customHeight="1">
      <c r="A318" s="8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 ht="15.75" customHeight="1">
      <c r="A319" s="8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 ht="15.75" customHeight="1">
      <c r="A320" s="8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 ht="15.75" customHeight="1">
      <c r="A321" s="8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 ht="15.75" customHeight="1">
      <c r="A322" s="8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 ht="15.75" customHeight="1">
      <c r="A323" s="8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 ht="15.75" customHeight="1">
      <c r="A324" s="8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 ht="15.75" customHeight="1">
      <c r="A325" s="8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 ht="15.75" customHeight="1">
      <c r="A326" s="8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 ht="15.75" customHeight="1">
      <c r="A327" s="8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 ht="15.75" customHeight="1">
      <c r="A328" s="8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 ht="15.75" customHeight="1">
      <c r="A329" s="8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 ht="15.75" customHeight="1">
      <c r="A330" s="8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 ht="15.75" customHeight="1">
      <c r="A331" s="8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 ht="15.75" customHeight="1">
      <c r="A332" s="8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 ht="15.75" customHeight="1">
      <c r="A333" s="8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 ht="15.75" customHeight="1">
      <c r="A334" s="8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 ht="15.75" customHeight="1">
      <c r="A335" s="8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 ht="15.75" customHeight="1">
      <c r="A336" s="8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 ht="15.75" customHeight="1">
      <c r="A337" s="8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 ht="15.75" customHeight="1">
      <c r="A338" s="8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 ht="15.75" customHeight="1">
      <c r="A339" s="8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 ht="15.75" customHeight="1">
      <c r="A340" s="8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 ht="15.75" customHeight="1">
      <c r="A341" s="83"/>
      <c r="B341" s="84"/>
      <c r="C341" s="84"/>
      <c r="D341" s="84"/>
      <c r="E341" s="84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ht="15.75" customHeight="1">
      <c r="A342" s="83"/>
      <c r="B342" s="84"/>
      <c r="C342" s="84"/>
      <c r="D342" s="84"/>
      <c r="E342" s="84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ht="15.75" customHeight="1">
      <c r="A343" s="83"/>
      <c r="B343" s="84"/>
      <c r="C343" s="84"/>
      <c r="D343" s="84"/>
      <c r="E343" s="84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ht="15.75" customHeight="1">
      <c r="A344" s="83"/>
      <c r="B344" s="84"/>
      <c r="C344" s="84"/>
      <c r="D344" s="84"/>
      <c r="E344" s="84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ht="15.75" customHeight="1">
      <c r="A345" s="83"/>
      <c r="B345" s="84"/>
      <c r="C345" s="84"/>
      <c r="D345" s="84"/>
      <c r="E345" s="84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ht="15.75" customHeight="1">
      <c r="A346" s="83"/>
      <c r="B346" s="84"/>
      <c r="C346" s="84"/>
      <c r="D346" s="84"/>
      <c r="E346" s="84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ht="15.75" customHeight="1">
      <c r="A347" s="83"/>
      <c r="B347" s="84"/>
      <c r="C347" s="84"/>
      <c r="D347" s="84"/>
      <c r="E347" s="84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ht="15.75" customHeight="1">
      <c r="A348" s="83"/>
      <c r="B348" s="84"/>
      <c r="C348" s="84"/>
      <c r="D348" s="84"/>
      <c r="E348" s="84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ht="15.75" customHeight="1">
      <c r="A349" s="83"/>
      <c r="B349" s="84"/>
      <c r="C349" s="84"/>
      <c r="D349" s="84"/>
      <c r="E349" s="84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ht="15.75" customHeight="1">
      <c r="A350" s="83"/>
      <c r="B350" s="84"/>
      <c r="C350" s="84"/>
      <c r="D350" s="84"/>
      <c r="E350" s="84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ht="15.75" customHeight="1">
      <c r="A351" s="83"/>
      <c r="B351" s="84"/>
      <c r="C351" s="84"/>
      <c r="D351" s="84"/>
      <c r="E351" s="84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ht="15.75" customHeight="1">
      <c r="A352" s="83"/>
      <c r="B352" s="84"/>
      <c r="C352" s="84"/>
      <c r="D352" s="84"/>
      <c r="E352" s="84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ht="15.75" customHeight="1">
      <c r="A353" s="83"/>
      <c r="B353" s="84"/>
      <c r="C353" s="84"/>
      <c r="D353" s="84"/>
      <c r="E353" s="84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ht="15.75" customHeight="1">
      <c r="A354" s="83"/>
      <c r="B354" s="84"/>
      <c r="C354" s="84"/>
      <c r="D354" s="84"/>
      <c r="E354" s="84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ht="15.75" customHeight="1">
      <c r="A355" s="83"/>
      <c r="B355" s="84"/>
      <c r="C355" s="84"/>
      <c r="D355" s="84"/>
      <c r="E355" s="84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ht="15.75" customHeight="1">
      <c r="A356" s="83"/>
      <c r="B356" s="84"/>
      <c r="C356" s="84"/>
      <c r="D356" s="84"/>
      <c r="E356" s="84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ht="15.75" customHeight="1">
      <c r="A357" s="83"/>
      <c r="B357" s="84"/>
      <c r="C357" s="84"/>
      <c r="D357" s="84"/>
      <c r="E357" s="84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ht="15.75" customHeight="1">
      <c r="A358" s="83"/>
      <c r="B358" s="84"/>
      <c r="C358" s="84"/>
      <c r="D358" s="84"/>
      <c r="E358" s="84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ht="15.75" customHeight="1">
      <c r="A359" s="83"/>
      <c r="B359" s="84"/>
      <c r="C359" s="84"/>
      <c r="D359" s="84"/>
      <c r="E359" s="84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ht="15.75" customHeight="1">
      <c r="A360" s="83"/>
      <c r="B360" s="84"/>
      <c r="C360" s="84"/>
      <c r="D360" s="84"/>
      <c r="E360" s="84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ht="15.75" customHeight="1">
      <c r="A361" s="83"/>
      <c r="B361" s="84"/>
      <c r="C361" s="84"/>
      <c r="D361" s="84"/>
      <c r="E361" s="84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ht="15.75" customHeight="1">
      <c r="A362" s="83"/>
      <c r="B362" s="84"/>
      <c r="C362" s="84"/>
      <c r="D362" s="84"/>
      <c r="E362" s="84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ht="15.75" customHeight="1">
      <c r="A363" s="83"/>
      <c r="B363" s="84"/>
      <c r="C363" s="84"/>
      <c r="D363" s="84"/>
      <c r="E363" s="84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ht="15.75" customHeight="1">
      <c r="A364" s="83"/>
      <c r="B364" s="84"/>
      <c r="C364" s="84"/>
      <c r="D364" s="84"/>
      <c r="E364" s="84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ht="15.75" customHeight="1">
      <c r="A365" s="83"/>
      <c r="B365" s="84"/>
      <c r="C365" s="84"/>
      <c r="D365" s="84"/>
      <c r="E365" s="84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ht="15.75" customHeight="1">
      <c r="A366" s="83"/>
      <c r="B366" s="84"/>
      <c r="C366" s="84"/>
      <c r="D366" s="84"/>
      <c r="E366" s="84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ht="15.75" customHeight="1">
      <c r="A367" s="83"/>
      <c r="B367" s="84"/>
      <c r="C367" s="84"/>
      <c r="D367" s="84"/>
      <c r="E367" s="84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ht="15.75" customHeight="1">
      <c r="A368" s="83"/>
      <c r="B368" s="84"/>
      <c r="C368" s="84"/>
      <c r="D368" s="84"/>
      <c r="E368" s="84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ht="15.75" customHeight="1">
      <c r="A369" s="83"/>
      <c r="B369" s="84"/>
      <c r="C369" s="84"/>
      <c r="D369" s="84"/>
      <c r="E369" s="84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ht="15.75" customHeight="1">
      <c r="A370" s="83"/>
      <c r="B370" s="84"/>
      <c r="C370" s="84"/>
      <c r="D370" s="84"/>
      <c r="E370" s="84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ht="15.75" customHeight="1">
      <c r="A371" s="83"/>
      <c r="B371" s="84"/>
      <c r="C371" s="84"/>
      <c r="D371" s="84"/>
      <c r="E371" s="84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ht="15.75" customHeight="1">
      <c r="A372" s="83"/>
      <c r="B372" s="84"/>
      <c r="C372" s="84"/>
      <c r="D372" s="84"/>
      <c r="E372" s="84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ht="15.75" customHeight="1">
      <c r="A373" s="83"/>
      <c r="B373" s="84"/>
      <c r="C373" s="84"/>
      <c r="D373" s="84"/>
      <c r="E373" s="84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ht="15.75" customHeight="1">
      <c r="A374" s="83"/>
      <c r="B374" s="84"/>
      <c r="C374" s="84"/>
      <c r="D374" s="84"/>
      <c r="E374" s="84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ht="15.75" customHeight="1">
      <c r="A375" s="83"/>
      <c r="B375" s="84"/>
      <c r="C375" s="84"/>
      <c r="D375" s="84"/>
      <c r="E375" s="84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ht="15.75" customHeight="1">
      <c r="A376" s="83"/>
      <c r="B376" s="84"/>
      <c r="C376" s="84"/>
      <c r="D376" s="84"/>
      <c r="E376" s="84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ht="15.75" customHeight="1">
      <c r="A377" s="83"/>
      <c r="B377" s="84"/>
      <c r="C377" s="84"/>
      <c r="D377" s="84"/>
      <c r="E377" s="84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ht="15.75" customHeight="1">
      <c r="A378" s="83"/>
      <c r="B378" s="84"/>
      <c r="C378" s="84"/>
      <c r="D378" s="84"/>
      <c r="E378" s="84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ht="15.75" customHeight="1">
      <c r="A379" s="83"/>
      <c r="B379" s="84"/>
      <c r="C379" s="84"/>
      <c r="D379" s="84"/>
      <c r="E379" s="84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ht="15.75" customHeight="1">
      <c r="A380" s="83"/>
      <c r="B380" s="84"/>
      <c r="C380" s="84"/>
      <c r="D380" s="84"/>
      <c r="E380" s="84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ht="15.75" customHeight="1">
      <c r="A381" s="83"/>
      <c r="B381" s="84"/>
      <c r="C381" s="84"/>
      <c r="D381" s="84"/>
      <c r="E381" s="84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ht="15.75" customHeight="1">
      <c r="A382" s="83"/>
      <c r="B382" s="84"/>
      <c r="C382" s="84"/>
      <c r="D382" s="84"/>
      <c r="E382" s="84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ht="15.75" customHeight="1">
      <c r="A383" s="83"/>
      <c r="B383" s="84"/>
      <c r="C383" s="84"/>
      <c r="D383" s="84"/>
      <c r="E383" s="84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ht="15.75" customHeight="1">
      <c r="A384" s="83"/>
      <c r="B384" s="84"/>
      <c r="C384" s="84"/>
      <c r="D384" s="84"/>
      <c r="E384" s="84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ht="15.75" customHeight="1">
      <c r="A385" s="83"/>
      <c r="B385" s="84"/>
      <c r="C385" s="84"/>
      <c r="D385" s="84"/>
      <c r="E385" s="84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ht="15.75" customHeight="1">
      <c r="A386" s="83"/>
      <c r="B386" s="84"/>
      <c r="C386" s="84"/>
      <c r="D386" s="84"/>
      <c r="E386" s="84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ht="15.75" customHeight="1">
      <c r="A387" s="83"/>
      <c r="B387" s="84"/>
      <c r="C387" s="84"/>
      <c r="D387" s="84"/>
      <c r="E387" s="84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ht="15.75" customHeight="1">
      <c r="A388" s="83"/>
      <c r="B388" s="84"/>
      <c r="C388" s="84"/>
      <c r="D388" s="84"/>
      <c r="E388" s="84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ht="15.75" customHeight="1">
      <c r="A389" s="83"/>
      <c r="B389" s="84"/>
      <c r="C389" s="84"/>
      <c r="D389" s="84"/>
      <c r="E389" s="84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ht="15.75" customHeight="1">
      <c r="A390" s="83"/>
      <c r="B390" s="84"/>
      <c r="C390" s="84"/>
      <c r="D390" s="84"/>
      <c r="E390" s="84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ht="15.75" customHeight="1">
      <c r="A391" s="83"/>
      <c r="B391" s="84"/>
      <c r="C391" s="84"/>
      <c r="D391" s="84"/>
      <c r="E391" s="84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ht="15.75" customHeight="1">
      <c r="A392" s="83"/>
      <c r="B392" s="84"/>
      <c r="C392" s="84"/>
      <c r="D392" s="84"/>
      <c r="E392" s="84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ht="15.75" customHeight="1">
      <c r="A393" s="83"/>
      <c r="B393" s="84"/>
      <c r="C393" s="84"/>
      <c r="D393" s="84"/>
      <c r="E393" s="84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ht="15.75" customHeight="1">
      <c r="A394" s="83"/>
      <c r="B394" s="84"/>
      <c r="C394" s="84"/>
      <c r="D394" s="84"/>
      <c r="E394" s="84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ht="15.75" customHeight="1">
      <c r="A395" s="83"/>
      <c r="B395" s="84"/>
      <c r="C395" s="84"/>
      <c r="D395" s="84"/>
      <c r="E395" s="84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ht="15.75" customHeight="1">
      <c r="A396" s="83"/>
      <c r="B396" s="84"/>
      <c r="C396" s="84"/>
      <c r="D396" s="84"/>
      <c r="E396" s="84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ht="15.75" customHeight="1">
      <c r="A397" s="83"/>
      <c r="B397" s="84"/>
      <c r="C397" s="84"/>
      <c r="D397" s="84"/>
      <c r="E397" s="84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ht="15.75" customHeight="1">
      <c r="A398" s="83"/>
      <c r="B398" s="84"/>
      <c r="C398" s="84"/>
      <c r="D398" s="84"/>
      <c r="E398" s="84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ht="15.75" customHeight="1">
      <c r="A399" s="83"/>
      <c r="B399" s="84"/>
      <c r="C399" s="84"/>
      <c r="D399" s="84"/>
      <c r="E399" s="84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ht="15.75" customHeight="1">
      <c r="A400" s="83"/>
      <c r="B400" s="84"/>
      <c r="C400" s="84"/>
      <c r="D400" s="84"/>
      <c r="E400" s="84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ht="15.75" customHeight="1">
      <c r="A401" s="83"/>
      <c r="B401" s="84"/>
      <c r="C401" s="84"/>
      <c r="D401" s="84"/>
      <c r="E401" s="84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ht="15.75" customHeight="1">
      <c r="A402" s="83"/>
      <c r="B402" s="84"/>
      <c r="C402" s="84"/>
      <c r="D402" s="84"/>
      <c r="E402" s="84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ht="15.75" customHeight="1">
      <c r="A403" s="83"/>
      <c r="B403" s="84"/>
      <c r="C403" s="84"/>
      <c r="D403" s="84"/>
      <c r="E403" s="84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ht="15.75" customHeight="1">
      <c r="A404" s="83"/>
      <c r="B404" s="84"/>
      <c r="C404" s="84"/>
      <c r="D404" s="84"/>
      <c r="E404" s="84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ht="15.75" customHeight="1">
      <c r="A405" s="83"/>
      <c r="B405" s="84"/>
      <c r="C405" s="84"/>
      <c r="D405" s="84"/>
      <c r="E405" s="84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ht="15.75" customHeight="1">
      <c r="A406" s="83"/>
      <c r="B406" s="84"/>
      <c r="C406" s="84"/>
      <c r="D406" s="84"/>
      <c r="E406" s="84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ht="15.75" customHeight="1">
      <c r="A407" s="83"/>
      <c r="B407" s="84"/>
      <c r="C407" s="84"/>
      <c r="D407" s="84"/>
      <c r="E407" s="84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ht="15.75" customHeight="1">
      <c r="A408" s="83"/>
      <c r="B408" s="84"/>
      <c r="C408" s="84"/>
      <c r="D408" s="84"/>
      <c r="E408" s="84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ht="15.75" customHeight="1">
      <c r="A409" s="83"/>
      <c r="B409" s="84"/>
      <c r="C409" s="84"/>
      <c r="D409" s="84"/>
      <c r="E409" s="84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ht="15.75" customHeight="1">
      <c r="A410" s="83"/>
      <c r="B410" s="84"/>
      <c r="C410" s="84"/>
      <c r="D410" s="84"/>
      <c r="E410" s="84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ht="15.75" customHeight="1">
      <c r="A411" s="83"/>
      <c r="B411" s="84"/>
      <c r="C411" s="84"/>
      <c r="D411" s="84"/>
      <c r="E411" s="84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ht="15.75" customHeight="1">
      <c r="A412" s="83"/>
      <c r="B412" s="84"/>
      <c r="C412" s="84"/>
      <c r="D412" s="84"/>
      <c r="E412" s="84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ht="15.75" customHeight="1">
      <c r="A413" s="83"/>
      <c r="B413" s="84"/>
      <c r="C413" s="84"/>
      <c r="D413" s="84"/>
      <c r="E413" s="84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ht="15.75" customHeight="1">
      <c r="A414" s="83"/>
      <c r="B414" s="84"/>
      <c r="C414" s="84"/>
      <c r="D414" s="84"/>
      <c r="E414" s="84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ht="15.75" customHeight="1">
      <c r="A415" s="83"/>
      <c r="B415" s="84"/>
      <c r="C415" s="84"/>
      <c r="D415" s="84"/>
      <c r="E415" s="84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ht="15.75" customHeight="1">
      <c r="A416" s="83"/>
      <c r="B416" s="84"/>
      <c r="C416" s="84"/>
      <c r="D416" s="84"/>
      <c r="E416" s="84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ht="15.75" customHeight="1">
      <c r="A417" s="83"/>
      <c r="B417" s="84"/>
      <c r="C417" s="84"/>
      <c r="D417" s="84"/>
      <c r="E417" s="84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ht="15.75" customHeight="1">
      <c r="A418" s="83"/>
      <c r="B418" s="84"/>
      <c r="C418" s="84"/>
      <c r="D418" s="84"/>
      <c r="E418" s="84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ht="15.75" customHeight="1">
      <c r="A419" s="83"/>
      <c r="B419" s="84"/>
      <c r="C419" s="84"/>
      <c r="D419" s="84"/>
      <c r="E419" s="84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ht="15.75" customHeight="1">
      <c r="A420" s="83"/>
      <c r="B420" s="84"/>
      <c r="C420" s="84"/>
      <c r="D420" s="84"/>
      <c r="E420" s="84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ht="15.75" customHeight="1">
      <c r="A421" s="83"/>
      <c r="B421" s="84"/>
      <c r="C421" s="84"/>
      <c r="D421" s="84"/>
      <c r="E421" s="84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ht="15.75" customHeight="1">
      <c r="A422" s="83"/>
      <c r="B422" s="84"/>
      <c r="C422" s="84"/>
      <c r="D422" s="84"/>
      <c r="E422" s="84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ht="15.75" customHeight="1">
      <c r="A423" s="83"/>
      <c r="B423" s="84"/>
      <c r="C423" s="84"/>
      <c r="D423" s="84"/>
      <c r="E423" s="84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ht="15.75" customHeight="1">
      <c r="A424" s="83"/>
      <c r="B424" s="84"/>
      <c r="C424" s="84"/>
      <c r="D424" s="84"/>
      <c r="E424" s="84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ht="15.75" customHeight="1">
      <c r="A425" s="83"/>
      <c r="B425" s="84"/>
      <c r="C425" s="84"/>
      <c r="D425" s="84"/>
      <c r="E425" s="84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ht="15.75" customHeight="1">
      <c r="A426" s="83"/>
      <c r="B426" s="84"/>
      <c r="C426" s="84"/>
      <c r="D426" s="84"/>
      <c r="E426" s="84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ht="15.75" customHeight="1">
      <c r="A427" s="83"/>
      <c r="B427" s="84"/>
      <c r="C427" s="84"/>
      <c r="D427" s="84"/>
      <c r="E427" s="84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ht="15.75" customHeight="1">
      <c r="A428" s="83"/>
      <c r="B428" s="84"/>
      <c r="C428" s="84"/>
      <c r="D428" s="84"/>
      <c r="E428" s="84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ht="15.75" customHeight="1">
      <c r="A429" s="83"/>
      <c r="B429" s="84"/>
      <c r="C429" s="84"/>
      <c r="D429" s="84"/>
      <c r="E429" s="84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ht="15.75" customHeight="1">
      <c r="A430" s="83"/>
      <c r="B430" s="84"/>
      <c r="C430" s="84"/>
      <c r="D430" s="84"/>
      <c r="E430" s="84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ht="15.75" customHeight="1">
      <c r="A431" s="83"/>
      <c r="B431" s="84"/>
      <c r="C431" s="84"/>
      <c r="D431" s="84"/>
      <c r="E431" s="84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ht="15.75" customHeight="1">
      <c r="A432" s="83"/>
      <c r="B432" s="84"/>
      <c r="C432" s="84"/>
      <c r="D432" s="84"/>
      <c r="E432" s="84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ht="15.75" customHeight="1">
      <c r="A433" s="83"/>
      <c r="B433" s="84"/>
      <c r="C433" s="84"/>
      <c r="D433" s="84"/>
      <c r="E433" s="84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ht="15.75" customHeight="1">
      <c r="A434" s="83"/>
      <c r="B434" s="84"/>
      <c r="C434" s="84"/>
      <c r="D434" s="84"/>
      <c r="E434" s="84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ht="15.75" customHeight="1">
      <c r="A435" s="83"/>
      <c r="B435" s="84"/>
      <c r="C435" s="84"/>
      <c r="D435" s="84"/>
      <c r="E435" s="84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ht="15.75" customHeight="1">
      <c r="A436" s="83"/>
      <c r="B436" s="84"/>
      <c r="C436" s="84"/>
      <c r="D436" s="84"/>
      <c r="E436" s="84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ht="15.75" customHeight="1">
      <c r="A437" s="83"/>
      <c r="B437" s="84"/>
      <c r="C437" s="84"/>
      <c r="D437" s="84"/>
      <c r="E437" s="84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ht="15.75" customHeight="1">
      <c r="A438" s="83"/>
      <c r="B438" s="84"/>
      <c r="C438" s="84"/>
      <c r="D438" s="84"/>
      <c r="E438" s="84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ht="15.75" customHeight="1">
      <c r="A439" s="83"/>
      <c r="B439" s="84"/>
      <c r="C439" s="84"/>
      <c r="D439" s="84"/>
      <c r="E439" s="84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ht="15.75" customHeight="1">
      <c r="A440" s="83"/>
      <c r="B440" s="84"/>
      <c r="C440" s="84"/>
      <c r="D440" s="84"/>
      <c r="E440" s="84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ht="15.75" customHeight="1">
      <c r="A441" s="83"/>
      <c r="B441" s="84"/>
      <c r="C441" s="84"/>
      <c r="D441" s="84"/>
      <c r="E441" s="84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ht="15.75" customHeight="1">
      <c r="A442" s="83"/>
      <c r="B442" s="84"/>
      <c r="C442" s="84"/>
      <c r="D442" s="84"/>
      <c r="E442" s="84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ht="15.75" customHeight="1">
      <c r="A443" s="83"/>
      <c r="B443" s="84"/>
      <c r="C443" s="84"/>
      <c r="D443" s="84"/>
      <c r="E443" s="84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ht="15.75" customHeight="1">
      <c r="A444" s="83"/>
      <c r="B444" s="84"/>
      <c r="C444" s="84"/>
      <c r="D444" s="84"/>
      <c r="E444" s="84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ht="15.75" customHeight="1">
      <c r="A445" s="83"/>
      <c r="B445" s="84"/>
      <c r="C445" s="84"/>
      <c r="D445" s="84"/>
      <c r="E445" s="84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ht="15.75" customHeight="1">
      <c r="A446" s="83"/>
      <c r="B446" s="84"/>
      <c r="C446" s="84"/>
      <c r="D446" s="84"/>
      <c r="E446" s="84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ht="15.75" customHeight="1">
      <c r="A447" s="83"/>
      <c r="B447" s="84"/>
      <c r="C447" s="84"/>
      <c r="D447" s="84"/>
      <c r="E447" s="84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ht="15.75" customHeight="1">
      <c r="A448" s="83"/>
      <c r="B448" s="84"/>
      <c r="C448" s="84"/>
      <c r="D448" s="84"/>
      <c r="E448" s="84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ht="15.75" customHeight="1">
      <c r="A449" s="83"/>
      <c r="B449" s="84"/>
      <c r="C449" s="84"/>
      <c r="D449" s="84"/>
      <c r="E449" s="84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ht="15.75" customHeight="1">
      <c r="A450" s="83"/>
      <c r="B450" s="84"/>
      <c r="C450" s="84"/>
      <c r="D450" s="84"/>
      <c r="E450" s="84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ht="15.75" customHeight="1">
      <c r="A451" s="83"/>
      <c r="B451" s="84"/>
      <c r="C451" s="84"/>
      <c r="D451" s="84"/>
      <c r="E451" s="84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ht="15.75" customHeight="1">
      <c r="A452" s="83"/>
      <c r="B452" s="84"/>
      <c r="C452" s="84"/>
      <c r="D452" s="84"/>
      <c r="E452" s="84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ht="15.75" customHeight="1">
      <c r="A453" s="83"/>
      <c r="B453" s="84"/>
      <c r="C453" s="84"/>
      <c r="D453" s="84"/>
      <c r="E453" s="84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ht="15.75" customHeight="1">
      <c r="A454" s="83"/>
      <c r="B454" s="84"/>
      <c r="C454" s="84"/>
      <c r="D454" s="84"/>
      <c r="E454" s="84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ht="15.75" customHeight="1">
      <c r="A455" s="83"/>
      <c r="B455" s="84"/>
      <c r="C455" s="84"/>
      <c r="D455" s="84"/>
      <c r="E455" s="84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ht="15.75" customHeight="1">
      <c r="A456" s="83"/>
      <c r="B456" s="84"/>
      <c r="C456" s="84"/>
      <c r="D456" s="84"/>
      <c r="E456" s="84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ht="15.75" customHeight="1">
      <c r="A457" s="83"/>
      <c r="B457" s="84"/>
      <c r="C457" s="84"/>
      <c r="D457" s="84"/>
      <c r="E457" s="84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ht="15.75" customHeight="1">
      <c r="A458" s="83"/>
      <c r="B458" s="84"/>
      <c r="C458" s="84"/>
      <c r="D458" s="84"/>
      <c r="E458" s="84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ht="15.75" customHeight="1">
      <c r="A459" s="83"/>
      <c r="B459" s="84"/>
      <c r="C459" s="84"/>
      <c r="D459" s="84"/>
      <c r="E459" s="84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ht="15.75" customHeight="1">
      <c r="A460" s="83"/>
      <c r="B460" s="84"/>
      <c r="C460" s="84"/>
      <c r="D460" s="84"/>
      <c r="E460" s="84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ht="15.75" customHeight="1">
      <c r="A461" s="83"/>
      <c r="B461" s="84"/>
      <c r="C461" s="84"/>
      <c r="D461" s="84"/>
      <c r="E461" s="84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ht="15.75" customHeight="1">
      <c r="A462" s="83"/>
      <c r="B462" s="84"/>
      <c r="C462" s="84"/>
      <c r="D462" s="84"/>
      <c r="E462" s="84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ht="15.75" customHeight="1">
      <c r="A463" s="83"/>
      <c r="B463" s="84"/>
      <c r="C463" s="84"/>
      <c r="D463" s="84"/>
      <c r="E463" s="84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ht="15.75" customHeight="1">
      <c r="A464" s="83"/>
      <c r="B464" s="84"/>
      <c r="C464" s="84"/>
      <c r="D464" s="84"/>
      <c r="E464" s="84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ht="15.75" customHeight="1">
      <c r="A465" s="83"/>
      <c r="B465" s="84"/>
      <c r="C465" s="84"/>
      <c r="D465" s="84"/>
      <c r="E465" s="84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ht="15.75" customHeight="1">
      <c r="A466" s="83"/>
      <c r="B466" s="84"/>
      <c r="C466" s="84"/>
      <c r="D466" s="84"/>
      <c r="E466" s="84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ht="15.75" customHeight="1">
      <c r="A467" s="83"/>
      <c r="B467" s="84"/>
      <c r="C467" s="84"/>
      <c r="D467" s="84"/>
      <c r="E467" s="84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ht="15.75" customHeight="1">
      <c r="A468" s="83"/>
      <c r="B468" s="84"/>
      <c r="C468" s="84"/>
      <c r="D468" s="84"/>
      <c r="E468" s="84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ht="15.75" customHeight="1">
      <c r="A469" s="83"/>
      <c r="B469" s="84"/>
      <c r="C469" s="84"/>
      <c r="D469" s="84"/>
      <c r="E469" s="84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ht="15.75" customHeight="1">
      <c r="A470" s="83"/>
      <c r="B470" s="84"/>
      <c r="C470" s="84"/>
      <c r="D470" s="84"/>
      <c r="E470" s="84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ht="15.75" customHeight="1">
      <c r="A471" s="83"/>
      <c r="B471" s="84"/>
      <c r="C471" s="84"/>
      <c r="D471" s="84"/>
      <c r="E471" s="84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ht="15.75" customHeight="1">
      <c r="A472" s="83"/>
      <c r="B472" s="84"/>
      <c r="C472" s="84"/>
      <c r="D472" s="84"/>
      <c r="E472" s="84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ht="15.75" customHeight="1">
      <c r="A473" s="83"/>
      <c r="B473" s="84"/>
      <c r="C473" s="84"/>
      <c r="D473" s="84"/>
      <c r="E473" s="84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ht="15.75" customHeight="1">
      <c r="A474" s="83"/>
      <c r="B474" s="84"/>
      <c r="C474" s="84"/>
      <c r="D474" s="84"/>
      <c r="E474" s="84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ht="15.75" customHeight="1">
      <c r="A475" s="83"/>
      <c r="B475" s="84"/>
      <c r="C475" s="84"/>
      <c r="D475" s="84"/>
      <c r="E475" s="84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ht="15.75" customHeight="1">
      <c r="A476" s="83"/>
      <c r="B476" s="84"/>
      <c r="C476" s="84"/>
      <c r="D476" s="84"/>
      <c r="E476" s="84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ht="15.75" customHeight="1">
      <c r="A477" s="83"/>
      <c r="B477" s="84"/>
      <c r="C477" s="84"/>
      <c r="D477" s="84"/>
      <c r="E477" s="84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ht="15.75" customHeight="1">
      <c r="A478" s="83"/>
      <c r="B478" s="84"/>
      <c r="C478" s="84"/>
      <c r="D478" s="84"/>
      <c r="E478" s="84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ht="15.75" customHeight="1">
      <c r="A479" s="83"/>
      <c r="B479" s="84"/>
      <c r="C479" s="84"/>
      <c r="D479" s="84"/>
      <c r="E479" s="84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ht="15.75" customHeight="1">
      <c r="A480" s="83"/>
      <c r="B480" s="84"/>
      <c r="C480" s="84"/>
      <c r="D480" s="84"/>
      <c r="E480" s="84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ht="15.75" customHeight="1">
      <c r="A481" s="83"/>
      <c r="B481" s="84"/>
      <c r="C481" s="84"/>
      <c r="D481" s="84"/>
      <c r="E481" s="84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ht="15.75" customHeight="1">
      <c r="A482" s="83"/>
      <c r="B482" s="84"/>
      <c r="C482" s="84"/>
      <c r="D482" s="84"/>
      <c r="E482" s="84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ht="15.75" customHeight="1">
      <c r="A483" s="83"/>
      <c r="B483" s="84"/>
      <c r="C483" s="84"/>
      <c r="D483" s="84"/>
      <c r="E483" s="84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ht="15.75" customHeight="1">
      <c r="A484" s="83"/>
      <c r="B484" s="84"/>
      <c r="C484" s="84"/>
      <c r="D484" s="84"/>
      <c r="E484" s="84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ht="15.75" customHeight="1">
      <c r="A485" s="83"/>
      <c r="B485" s="84"/>
      <c r="C485" s="84"/>
      <c r="D485" s="84"/>
      <c r="E485" s="84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ht="15.75" customHeight="1">
      <c r="A486" s="83"/>
      <c r="B486" s="84"/>
      <c r="C486" s="84"/>
      <c r="D486" s="84"/>
      <c r="E486" s="84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ht="15.75" customHeight="1">
      <c r="A487" s="83"/>
      <c r="B487" s="84"/>
      <c r="C487" s="84"/>
      <c r="D487" s="84"/>
      <c r="E487" s="84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ht="15.75" customHeight="1">
      <c r="A488" s="83"/>
      <c r="B488" s="84"/>
      <c r="C488" s="84"/>
      <c r="D488" s="84"/>
      <c r="E488" s="84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ht="15.75" customHeight="1">
      <c r="A489" s="83"/>
      <c r="B489" s="84"/>
      <c r="C489" s="84"/>
      <c r="D489" s="84"/>
      <c r="E489" s="84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ht="15.75" customHeight="1">
      <c r="A490" s="83"/>
      <c r="B490" s="84"/>
      <c r="C490" s="84"/>
      <c r="D490" s="84"/>
      <c r="E490" s="84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ht="15.75" customHeight="1">
      <c r="A491" s="83"/>
      <c r="B491" s="84"/>
      <c r="C491" s="84"/>
      <c r="D491" s="84"/>
      <c r="E491" s="84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ht="15.75" customHeight="1">
      <c r="A492" s="83"/>
      <c r="B492" s="84"/>
      <c r="C492" s="84"/>
      <c r="D492" s="84"/>
      <c r="E492" s="84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ht="15.75" customHeight="1">
      <c r="A493" s="83"/>
      <c r="B493" s="84"/>
      <c r="C493" s="84"/>
      <c r="D493" s="84"/>
      <c r="E493" s="84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ht="15.75" customHeight="1">
      <c r="A494" s="83"/>
      <c r="B494" s="84"/>
      <c r="C494" s="84"/>
      <c r="D494" s="84"/>
      <c r="E494" s="84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ht="15.75" customHeight="1">
      <c r="A495" s="83"/>
      <c r="B495" s="84"/>
      <c r="C495" s="84"/>
      <c r="D495" s="84"/>
      <c r="E495" s="84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ht="15.75" customHeight="1">
      <c r="A496" s="83"/>
      <c r="B496" s="84"/>
      <c r="C496" s="84"/>
      <c r="D496" s="84"/>
      <c r="E496" s="84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ht="15.75" customHeight="1">
      <c r="A497" s="83"/>
      <c r="B497" s="84"/>
      <c r="C497" s="84"/>
      <c r="D497" s="84"/>
      <c r="E497" s="84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ht="15.75" customHeight="1">
      <c r="A498" s="83"/>
      <c r="B498" s="84"/>
      <c r="C498" s="84"/>
      <c r="D498" s="84"/>
      <c r="E498" s="84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ht="15.75" customHeight="1">
      <c r="A499" s="83"/>
      <c r="B499" s="84"/>
      <c r="C499" s="84"/>
      <c r="D499" s="84"/>
      <c r="E499" s="84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ht="15.75" customHeight="1">
      <c r="A500" s="83"/>
      <c r="B500" s="84"/>
      <c r="C500" s="84"/>
      <c r="D500" s="84"/>
      <c r="E500" s="84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ht="15.75" customHeight="1">
      <c r="A501" s="83"/>
      <c r="B501" s="84"/>
      <c r="C501" s="84"/>
      <c r="D501" s="84"/>
      <c r="E501" s="84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ht="15.75" customHeight="1">
      <c r="A502" s="83"/>
      <c r="B502" s="84"/>
      <c r="C502" s="84"/>
      <c r="D502" s="84"/>
      <c r="E502" s="84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ht="15.75" customHeight="1">
      <c r="A503" s="83"/>
      <c r="B503" s="84"/>
      <c r="C503" s="84"/>
      <c r="D503" s="84"/>
      <c r="E503" s="84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ht="15.75" customHeight="1">
      <c r="A504" s="83"/>
      <c r="B504" s="84"/>
      <c r="C504" s="84"/>
      <c r="D504" s="84"/>
      <c r="E504" s="84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ht="15.75" customHeight="1">
      <c r="A505" s="83"/>
      <c r="B505" s="84"/>
      <c r="C505" s="84"/>
      <c r="D505" s="84"/>
      <c r="E505" s="84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ht="15.75" customHeight="1">
      <c r="A506" s="83"/>
      <c r="B506" s="84"/>
      <c r="C506" s="84"/>
      <c r="D506" s="84"/>
      <c r="E506" s="84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ht="15.75" customHeight="1">
      <c r="A507" s="83"/>
      <c r="B507" s="84"/>
      <c r="C507" s="84"/>
      <c r="D507" s="84"/>
      <c r="E507" s="84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ht="15.75" customHeight="1">
      <c r="A508" s="83"/>
      <c r="B508" s="84"/>
      <c r="C508" s="84"/>
      <c r="D508" s="84"/>
      <c r="E508" s="84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ht="15.75" customHeight="1">
      <c r="A509" s="83"/>
      <c r="B509" s="84"/>
      <c r="C509" s="84"/>
      <c r="D509" s="84"/>
      <c r="E509" s="84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ht="15.75" customHeight="1">
      <c r="A510" s="83"/>
      <c r="B510" s="84"/>
      <c r="C510" s="84"/>
      <c r="D510" s="84"/>
      <c r="E510" s="84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ht="15.75" customHeight="1">
      <c r="A511" s="83"/>
      <c r="B511" s="84"/>
      <c r="C511" s="84"/>
      <c r="D511" s="84"/>
      <c r="E511" s="84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ht="15.75" customHeight="1">
      <c r="A512" s="83"/>
      <c r="B512" s="84"/>
      <c r="C512" s="84"/>
      <c r="D512" s="84"/>
      <c r="E512" s="84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ht="15.75" customHeight="1">
      <c r="A513" s="83"/>
      <c r="B513" s="84"/>
      <c r="C513" s="84"/>
      <c r="D513" s="84"/>
      <c r="E513" s="84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ht="15.75" customHeight="1">
      <c r="A514" s="83"/>
      <c r="B514" s="84"/>
      <c r="C514" s="84"/>
      <c r="D514" s="84"/>
      <c r="E514" s="84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ht="15.75" customHeight="1">
      <c r="A515" s="83"/>
      <c r="B515" s="84"/>
      <c r="C515" s="84"/>
      <c r="D515" s="84"/>
      <c r="E515" s="84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ht="15.75" customHeight="1">
      <c r="A516" s="83"/>
      <c r="B516" s="84"/>
      <c r="C516" s="84"/>
      <c r="D516" s="84"/>
      <c r="E516" s="84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ht="15.75" customHeight="1">
      <c r="A517" s="83"/>
      <c r="B517" s="84"/>
      <c r="C517" s="84"/>
      <c r="D517" s="84"/>
      <c r="E517" s="84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ht="15.75" customHeight="1">
      <c r="A518" s="83"/>
      <c r="B518" s="84"/>
      <c r="C518" s="84"/>
      <c r="D518" s="84"/>
      <c r="E518" s="84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ht="15.75" customHeight="1">
      <c r="A519" s="83"/>
      <c r="B519" s="84"/>
      <c r="C519" s="84"/>
      <c r="D519" s="84"/>
      <c r="E519" s="84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ht="15.75" customHeight="1">
      <c r="A520" s="83"/>
      <c r="B520" s="84"/>
      <c r="C520" s="84"/>
      <c r="D520" s="84"/>
      <c r="E520" s="84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ht="15.75" customHeight="1">
      <c r="A521" s="83"/>
      <c r="B521" s="84"/>
      <c r="C521" s="84"/>
      <c r="D521" s="84"/>
      <c r="E521" s="84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ht="15.75" customHeight="1">
      <c r="A522" s="83"/>
      <c r="B522" s="84"/>
      <c r="C522" s="84"/>
      <c r="D522" s="84"/>
      <c r="E522" s="84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ht="15.75" customHeight="1">
      <c r="A523" s="83"/>
      <c r="B523" s="84"/>
      <c r="C523" s="84"/>
      <c r="D523" s="84"/>
      <c r="E523" s="84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ht="15.75" customHeight="1">
      <c r="A524" s="83"/>
      <c r="B524" s="84"/>
      <c r="C524" s="84"/>
      <c r="D524" s="84"/>
      <c r="E524" s="84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ht="15.75" customHeight="1">
      <c r="A525" s="83"/>
      <c r="B525" s="84"/>
      <c r="C525" s="84"/>
      <c r="D525" s="84"/>
      <c r="E525" s="84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ht="15.75" customHeight="1">
      <c r="A526" s="83"/>
      <c r="B526" s="84"/>
      <c r="C526" s="84"/>
      <c r="D526" s="84"/>
      <c r="E526" s="84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ht="15.75" customHeight="1">
      <c r="A527" s="83"/>
      <c r="B527" s="84"/>
      <c r="C527" s="84"/>
      <c r="D527" s="84"/>
      <c r="E527" s="84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ht="15.75" customHeight="1">
      <c r="A528" s="83"/>
      <c r="B528" s="84"/>
      <c r="C528" s="84"/>
      <c r="D528" s="84"/>
      <c r="E528" s="84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ht="15.75" customHeight="1">
      <c r="A529" s="83"/>
      <c r="B529" s="84"/>
      <c r="C529" s="84"/>
      <c r="D529" s="84"/>
      <c r="E529" s="84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ht="15.75" customHeight="1">
      <c r="A530" s="83"/>
      <c r="B530" s="84"/>
      <c r="C530" s="84"/>
      <c r="D530" s="84"/>
      <c r="E530" s="84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ht="15.75" customHeight="1">
      <c r="A531" s="83"/>
      <c r="B531" s="84"/>
      <c r="C531" s="84"/>
      <c r="D531" s="84"/>
      <c r="E531" s="84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ht="15.75" customHeight="1">
      <c r="A532" s="83"/>
      <c r="B532" s="84"/>
      <c r="C532" s="84"/>
      <c r="D532" s="84"/>
      <c r="E532" s="84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ht="15.75" customHeight="1">
      <c r="A533" s="83"/>
      <c r="B533" s="84"/>
      <c r="C533" s="84"/>
      <c r="D533" s="84"/>
      <c r="E533" s="84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ht="15.75" customHeight="1">
      <c r="A534" s="83"/>
      <c r="B534" s="84"/>
      <c r="C534" s="84"/>
      <c r="D534" s="84"/>
      <c r="E534" s="84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ht="15.75" customHeight="1">
      <c r="A535" s="83"/>
      <c r="B535" s="84"/>
      <c r="C535" s="84"/>
      <c r="D535" s="84"/>
      <c r="E535" s="84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ht="15.75" customHeight="1">
      <c r="A536" s="83"/>
      <c r="B536" s="84"/>
      <c r="C536" s="84"/>
      <c r="D536" s="84"/>
      <c r="E536" s="84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ht="15.75" customHeight="1">
      <c r="A537" s="83"/>
      <c r="B537" s="84"/>
      <c r="C537" s="84"/>
      <c r="D537" s="84"/>
      <c r="E537" s="84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ht="15.75" customHeight="1">
      <c r="A538" s="83"/>
      <c r="B538" s="84"/>
      <c r="C538" s="84"/>
      <c r="D538" s="84"/>
      <c r="E538" s="84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ht="15.75" customHeight="1">
      <c r="A539" s="83"/>
      <c r="B539" s="84"/>
      <c r="C539" s="84"/>
      <c r="D539" s="84"/>
      <c r="E539" s="84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ht="15.75" customHeight="1">
      <c r="A540" s="83"/>
      <c r="B540" s="84"/>
      <c r="C540" s="84"/>
      <c r="D540" s="84"/>
      <c r="E540" s="84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ht="15.75" customHeight="1">
      <c r="A541" s="83"/>
      <c r="B541" s="84"/>
      <c r="C541" s="84"/>
      <c r="D541" s="84"/>
      <c r="E541" s="84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ht="15.75" customHeight="1">
      <c r="A542" s="83"/>
      <c r="B542" s="84"/>
      <c r="C542" s="84"/>
      <c r="D542" s="84"/>
      <c r="E542" s="84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ht="15.75" customHeight="1">
      <c r="A543" s="83"/>
      <c r="B543" s="84"/>
      <c r="C543" s="84"/>
      <c r="D543" s="84"/>
      <c r="E543" s="84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ht="15.75" customHeight="1">
      <c r="A544" s="83"/>
      <c r="B544" s="84"/>
      <c r="C544" s="84"/>
      <c r="D544" s="84"/>
      <c r="E544" s="84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ht="15.75" customHeight="1">
      <c r="A545" s="83"/>
      <c r="B545" s="84"/>
      <c r="C545" s="84"/>
      <c r="D545" s="84"/>
      <c r="E545" s="84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ht="15.75" customHeight="1">
      <c r="A546" s="83"/>
      <c r="B546" s="84"/>
      <c r="C546" s="84"/>
      <c r="D546" s="84"/>
      <c r="E546" s="84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ht="15.75" customHeight="1">
      <c r="A547" s="83"/>
      <c r="B547" s="84"/>
      <c r="C547" s="84"/>
      <c r="D547" s="84"/>
      <c r="E547" s="84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ht="15.75" customHeight="1">
      <c r="A548" s="83"/>
      <c r="B548" s="84"/>
      <c r="C548" s="84"/>
      <c r="D548" s="84"/>
      <c r="E548" s="84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ht="15.75" customHeight="1">
      <c r="A549" s="83"/>
      <c r="B549" s="84"/>
      <c r="C549" s="84"/>
      <c r="D549" s="84"/>
      <c r="E549" s="84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ht="15.75" customHeight="1">
      <c r="A550" s="83"/>
      <c r="B550" s="84"/>
      <c r="C550" s="84"/>
      <c r="D550" s="84"/>
      <c r="E550" s="84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ht="15.75" customHeight="1">
      <c r="A551" s="83"/>
      <c r="B551" s="84"/>
      <c r="C551" s="84"/>
      <c r="D551" s="84"/>
      <c r="E551" s="84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ht="15.75" customHeight="1">
      <c r="A552" s="83"/>
      <c r="B552" s="84"/>
      <c r="C552" s="84"/>
      <c r="D552" s="84"/>
      <c r="E552" s="84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ht="15.75" customHeight="1">
      <c r="A553" s="83"/>
      <c r="B553" s="84"/>
      <c r="C553" s="84"/>
      <c r="D553" s="84"/>
      <c r="E553" s="84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ht="15.75" customHeight="1">
      <c r="A554" s="83"/>
      <c r="B554" s="84"/>
      <c r="C554" s="84"/>
      <c r="D554" s="84"/>
      <c r="E554" s="84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ht="15.75" customHeight="1">
      <c r="A555" s="83"/>
      <c r="B555" s="84"/>
      <c r="C555" s="84"/>
      <c r="D555" s="84"/>
      <c r="E555" s="84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ht="15.75" customHeight="1">
      <c r="A556" s="83"/>
      <c r="B556" s="84"/>
      <c r="C556" s="84"/>
      <c r="D556" s="84"/>
      <c r="E556" s="84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ht="15.75" customHeight="1">
      <c r="A557" s="83"/>
      <c r="B557" s="84"/>
      <c r="C557" s="84"/>
      <c r="D557" s="84"/>
      <c r="E557" s="84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ht="15.75" customHeight="1">
      <c r="A558" s="83"/>
      <c r="B558" s="84"/>
      <c r="C558" s="84"/>
      <c r="D558" s="84"/>
      <c r="E558" s="84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ht="15.75" customHeight="1">
      <c r="A559" s="83"/>
      <c r="B559" s="84"/>
      <c r="C559" s="84"/>
      <c r="D559" s="84"/>
      <c r="E559" s="84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ht="15.75" customHeight="1">
      <c r="A560" s="83"/>
      <c r="B560" s="84"/>
      <c r="C560" s="84"/>
      <c r="D560" s="84"/>
      <c r="E560" s="84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ht="15.75" customHeight="1">
      <c r="A561" s="83"/>
      <c r="B561" s="84"/>
      <c r="C561" s="84"/>
      <c r="D561" s="84"/>
      <c r="E561" s="84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ht="15.75" customHeight="1">
      <c r="A562" s="83"/>
      <c r="B562" s="84"/>
      <c r="C562" s="84"/>
      <c r="D562" s="84"/>
      <c r="E562" s="84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ht="15.75" customHeight="1">
      <c r="A563" s="83"/>
      <c r="B563" s="84"/>
      <c r="C563" s="84"/>
      <c r="D563" s="84"/>
      <c r="E563" s="84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ht="15.75" customHeight="1">
      <c r="A564" s="83"/>
      <c r="B564" s="84"/>
      <c r="C564" s="84"/>
      <c r="D564" s="84"/>
      <c r="E564" s="84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ht="15.75" customHeight="1">
      <c r="A565" s="83"/>
      <c r="B565" s="84"/>
      <c r="C565" s="84"/>
      <c r="D565" s="84"/>
      <c r="E565" s="84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ht="15.75" customHeight="1">
      <c r="A566" s="83"/>
      <c r="B566" s="84"/>
      <c r="C566" s="84"/>
      <c r="D566" s="84"/>
      <c r="E566" s="84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ht="15.75" customHeight="1">
      <c r="A567" s="83"/>
      <c r="B567" s="84"/>
      <c r="C567" s="84"/>
      <c r="D567" s="84"/>
      <c r="E567" s="84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ht="15.75" customHeight="1">
      <c r="A568" s="83"/>
      <c r="B568" s="84"/>
      <c r="C568" s="84"/>
      <c r="D568" s="84"/>
      <c r="E568" s="84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ht="15.75" customHeight="1">
      <c r="A569" s="83"/>
      <c r="B569" s="84"/>
      <c r="C569" s="84"/>
      <c r="D569" s="84"/>
      <c r="E569" s="84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ht="15.75" customHeight="1">
      <c r="A570" s="83"/>
      <c r="B570" s="84"/>
      <c r="C570" s="84"/>
      <c r="D570" s="84"/>
      <c r="E570" s="84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ht="15.75" customHeight="1">
      <c r="A571" s="83"/>
      <c r="B571" s="84"/>
      <c r="C571" s="84"/>
      <c r="D571" s="84"/>
      <c r="E571" s="84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ht="15.75" customHeight="1">
      <c r="A572" s="83"/>
      <c r="B572" s="84"/>
      <c r="C572" s="84"/>
      <c r="D572" s="84"/>
      <c r="E572" s="84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ht="15.75" customHeight="1">
      <c r="A573" s="83"/>
      <c r="B573" s="84"/>
      <c r="C573" s="84"/>
      <c r="D573" s="84"/>
      <c r="E573" s="84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ht="15.75" customHeight="1">
      <c r="A574" s="83"/>
      <c r="B574" s="84"/>
      <c r="C574" s="84"/>
      <c r="D574" s="84"/>
      <c r="E574" s="84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ht="15.75" customHeight="1">
      <c r="A575" s="83"/>
      <c r="B575" s="84"/>
      <c r="C575" s="84"/>
      <c r="D575" s="84"/>
      <c r="E575" s="84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ht="15.75" customHeight="1">
      <c r="A576" s="83"/>
      <c r="B576" s="84"/>
      <c r="C576" s="84"/>
      <c r="D576" s="84"/>
      <c r="E576" s="84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ht="15.75" customHeight="1">
      <c r="A577" s="83"/>
      <c r="B577" s="84"/>
      <c r="C577" s="84"/>
      <c r="D577" s="84"/>
      <c r="E577" s="84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ht="15.75" customHeight="1">
      <c r="A578" s="83"/>
      <c r="B578" s="84"/>
      <c r="C578" s="84"/>
      <c r="D578" s="84"/>
      <c r="E578" s="84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ht="15.75" customHeight="1">
      <c r="A579" s="83"/>
      <c r="B579" s="84"/>
      <c r="C579" s="84"/>
      <c r="D579" s="84"/>
      <c r="E579" s="84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ht="15.75" customHeight="1">
      <c r="A580" s="83"/>
      <c r="B580" s="84"/>
      <c r="C580" s="84"/>
      <c r="D580" s="84"/>
      <c r="E580" s="84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ht="15.75" customHeight="1">
      <c r="A581" s="83"/>
      <c r="B581" s="84"/>
      <c r="C581" s="84"/>
      <c r="D581" s="84"/>
      <c r="E581" s="84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ht="15.75" customHeight="1">
      <c r="A582" s="83"/>
      <c r="B582" s="84"/>
      <c r="C582" s="84"/>
      <c r="D582" s="84"/>
      <c r="E582" s="84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ht="15.75" customHeight="1">
      <c r="A583" s="83"/>
      <c r="B583" s="84"/>
      <c r="C583" s="84"/>
      <c r="D583" s="84"/>
      <c r="E583" s="84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ht="15.75" customHeight="1">
      <c r="A584" s="83"/>
      <c r="B584" s="84"/>
      <c r="C584" s="84"/>
      <c r="D584" s="84"/>
      <c r="E584" s="84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ht="15.75" customHeight="1">
      <c r="A585" s="83"/>
      <c r="B585" s="84"/>
      <c r="C585" s="84"/>
      <c r="D585" s="84"/>
      <c r="E585" s="84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ht="15.75" customHeight="1">
      <c r="A586" s="83"/>
      <c r="B586" s="84"/>
      <c r="C586" s="84"/>
      <c r="D586" s="84"/>
      <c r="E586" s="84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ht="15.75" customHeight="1">
      <c r="A587" s="83"/>
      <c r="B587" s="84"/>
      <c r="C587" s="84"/>
      <c r="D587" s="84"/>
      <c r="E587" s="84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ht="15.75" customHeight="1">
      <c r="A588" s="83"/>
      <c r="B588" s="84"/>
      <c r="C588" s="84"/>
      <c r="D588" s="84"/>
      <c r="E588" s="84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ht="15.75" customHeight="1">
      <c r="A589" s="83"/>
      <c r="B589" s="84"/>
      <c r="C589" s="84"/>
      <c r="D589" s="84"/>
      <c r="E589" s="84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ht="15.75" customHeight="1">
      <c r="A590" s="83"/>
      <c r="B590" s="84"/>
      <c r="C590" s="84"/>
      <c r="D590" s="84"/>
      <c r="E590" s="84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ht="15.75" customHeight="1">
      <c r="A591" s="83"/>
      <c r="B591" s="84"/>
      <c r="C591" s="84"/>
      <c r="D591" s="84"/>
      <c r="E591" s="84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ht="15.75" customHeight="1">
      <c r="A592" s="83"/>
      <c r="B592" s="84"/>
      <c r="C592" s="84"/>
      <c r="D592" s="84"/>
      <c r="E592" s="84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ht="15.75" customHeight="1">
      <c r="A593" s="83"/>
      <c r="B593" s="84"/>
      <c r="C593" s="84"/>
      <c r="D593" s="84"/>
      <c r="E593" s="84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ht="15.75" customHeight="1">
      <c r="A594" s="83"/>
      <c r="B594" s="84"/>
      <c r="C594" s="84"/>
      <c r="D594" s="84"/>
      <c r="E594" s="84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ht="15.75" customHeight="1">
      <c r="A595" s="83"/>
      <c r="B595" s="84"/>
      <c r="C595" s="84"/>
      <c r="D595" s="84"/>
      <c r="E595" s="84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ht="15.75" customHeight="1">
      <c r="A596" s="83"/>
      <c r="B596" s="84"/>
      <c r="C596" s="84"/>
      <c r="D596" s="84"/>
      <c r="E596" s="84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ht="15.75" customHeight="1">
      <c r="A597" s="83"/>
      <c r="B597" s="84"/>
      <c r="C597" s="84"/>
      <c r="D597" s="84"/>
      <c r="E597" s="84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ht="15.75" customHeight="1">
      <c r="A598" s="83"/>
      <c r="B598" s="84"/>
      <c r="C598" s="84"/>
      <c r="D598" s="84"/>
      <c r="E598" s="84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ht="15.75" customHeight="1">
      <c r="A599" s="83"/>
      <c r="B599" s="84"/>
      <c r="C599" s="84"/>
      <c r="D599" s="84"/>
      <c r="E599" s="84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ht="15.75" customHeight="1">
      <c r="A600" s="83"/>
      <c r="B600" s="84"/>
      <c r="C600" s="84"/>
      <c r="D600" s="84"/>
      <c r="E600" s="84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ht="15.75" customHeight="1">
      <c r="A601" s="83"/>
      <c r="B601" s="84"/>
      <c r="C601" s="84"/>
      <c r="D601" s="84"/>
      <c r="E601" s="84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ht="15.75" customHeight="1">
      <c r="A602" s="83"/>
      <c r="B602" s="84"/>
      <c r="C602" s="84"/>
      <c r="D602" s="84"/>
      <c r="E602" s="84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ht="15.75" customHeight="1">
      <c r="A603" s="83"/>
      <c r="B603" s="84"/>
      <c r="C603" s="84"/>
      <c r="D603" s="84"/>
      <c r="E603" s="84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ht="15.75" customHeight="1">
      <c r="A604" s="83"/>
      <c r="B604" s="84"/>
      <c r="C604" s="84"/>
      <c r="D604" s="84"/>
      <c r="E604" s="84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ht="15.75" customHeight="1">
      <c r="A605" s="83"/>
      <c r="B605" s="84"/>
      <c r="C605" s="84"/>
      <c r="D605" s="84"/>
      <c r="E605" s="84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ht="15.75" customHeight="1">
      <c r="A606" s="83"/>
      <c r="B606" s="84"/>
      <c r="C606" s="84"/>
      <c r="D606" s="84"/>
      <c r="E606" s="84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ht="15.75" customHeight="1">
      <c r="A607" s="83"/>
      <c r="B607" s="84"/>
      <c r="C607" s="84"/>
      <c r="D607" s="84"/>
      <c r="E607" s="84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ht="15.75" customHeight="1">
      <c r="A608" s="83"/>
      <c r="B608" s="84"/>
      <c r="C608" s="84"/>
      <c r="D608" s="84"/>
      <c r="E608" s="84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ht="15.75" customHeight="1">
      <c r="A609" s="83"/>
      <c r="B609" s="84"/>
      <c r="C609" s="84"/>
      <c r="D609" s="84"/>
      <c r="E609" s="84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ht="15.75" customHeight="1">
      <c r="A610" s="83"/>
      <c r="B610" s="84"/>
      <c r="C610" s="84"/>
      <c r="D610" s="84"/>
      <c r="E610" s="84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ht="15.75" customHeight="1">
      <c r="A611" s="83"/>
      <c r="B611" s="84"/>
      <c r="C611" s="84"/>
      <c r="D611" s="84"/>
      <c r="E611" s="84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ht="15.75" customHeight="1">
      <c r="A612" s="83"/>
      <c r="B612" s="84"/>
      <c r="C612" s="84"/>
      <c r="D612" s="84"/>
      <c r="E612" s="84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ht="15.75" customHeight="1">
      <c r="A613" s="83"/>
      <c r="B613" s="84"/>
      <c r="C613" s="84"/>
      <c r="D613" s="84"/>
      <c r="E613" s="84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ht="15.75" customHeight="1">
      <c r="A614" s="83"/>
      <c r="B614" s="84"/>
      <c r="C614" s="84"/>
      <c r="D614" s="84"/>
      <c r="E614" s="84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ht="15.75" customHeight="1">
      <c r="A615" s="83"/>
      <c r="B615" s="84"/>
      <c r="C615" s="84"/>
      <c r="D615" s="84"/>
      <c r="E615" s="84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ht="15.75" customHeight="1">
      <c r="A616" s="83"/>
      <c r="B616" s="84"/>
      <c r="C616" s="84"/>
      <c r="D616" s="84"/>
      <c r="E616" s="84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ht="15.75" customHeight="1">
      <c r="A617" s="83"/>
      <c r="B617" s="84"/>
      <c r="C617" s="84"/>
      <c r="D617" s="84"/>
      <c r="E617" s="84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ht="15.75" customHeight="1">
      <c r="A618" s="83"/>
      <c r="B618" s="84"/>
      <c r="C618" s="84"/>
      <c r="D618" s="84"/>
      <c r="E618" s="84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ht="15.75" customHeight="1">
      <c r="A619" s="83"/>
      <c r="B619" s="84"/>
      <c r="C619" s="84"/>
      <c r="D619" s="84"/>
      <c r="E619" s="84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ht="15.75" customHeight="1">
      <c r="A620" s="83"/>
      <c r="B620" s="84"/>
      <c r="C620" s="84"/>
      <c r="D620" s="84"/>
      <c r="E620" s="84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ht="15.75" customHeight="1">
      <c r="A621" s="83"/>
      <c r="B621" s="84"/>
      <c r="C621" s="84"/>
      <c r="D621" s="84"/>
      <c r="E621" s="84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ht="15.75" customHeight="1">
      <c r="A622" s="83"/>
      <c r="B622" s="84"/>
      <c r="C622" s="84"/>
      <c r="D622" s="84"/>
      <c r="E622" s="84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ht="15.75" customHeight="1">
      <c r="A623" s="83"/>
      <c r="B623" s="84"/>
      <c r="C623" s="84"/>
      <c r="D623" s="84"/>
      <c r="E623" s="84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ht="15.75" customHeight="1">
      <c r="A624" s="83"/>
      <c r="B624" s="84"/>
      <c r="C624" s="84"/>
      <c r="D624" s="84"/>
      <c r="E624" s="84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ht="15.75" customHeight="1">
      <c r="A625" s="83"/>
      <c r="B625" s="84"/>
      <c r="C625" s="84"/>
      <c r="D625" s="84"/>
      <c r="E625" s="84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ht="15.75" customHeight="1">
      <c r="A626" s="83"/>
      <c r="B626" s="84"/>
      <c r="C626" s="84"/>
      <c r="D626" s="84"/>
      <c r="E626" s="84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ht="15.75" customHeight="1">
      <c r="A627" s="83"/>
      <c r="B627" s="84"/>
      <c r="C627" s="84"/>
      <c r="D627" s="84"/>
      <c r="E627" s="84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ht="15.75" customHeight="1">
      <c r="A628" s="83"/>
      <c r="B628" s="84"/>
      <c r="C628" s="84"/>
      <c r="D628" s="84"/>
      <c r="E628" s="84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ht="15.75" customHeight="1">
      <c r="A629" s="83"/>
      <c r="B629" s="84"/>
      <c r="C629" s="84"/>
      <c r="D629" s="84"/>
      <c r="E629" s="84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ht="15.75" customHeight="1">
      <c r="A630" s="83"/>
      <c r="B630" s="84"/>
      <c r="C630" s="84"/>
      <c r="D630" s="84"/>
      <c r="E630" s="84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ht="15.75" customHeight="1">
      <c r="A631" s="83"/>
      <c r="B631" s="84"/>
      <c r="C631" s="84"/>
      <c r="D631" s="84"/>
      <c r="E631" s="84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ht="15.75" customHeight="1">
      <c r="A632" s="83"/>
      <c r="B632" s="84"/>
      <c r="C632" s="84"/>
      <c r="D632" s="84"/>
      <c r="E632" s="84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ht="15.75" customHeight="1">
      <c r="A633" s="83"/>
      <c r="B633" s="84"/>
      <c r="C633" s="84"/>
      <c r="D633" s="84"/>
      <c r="E633" s="84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ht="15.75" customHeight="1">
      <c r="A634" s="83"/>
      <c r="B634" s="84"/>
      <c r="C634" s="84"/>
      <c r="D634" s="84"/>
      <c r="E634" s="84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ht="15.75" customHeight="1">
      <c r="A635" s="83"/>
      <c r="B635" s="84"/>
      <c r="C635" s="84"/>
      <c r="D635" s="84"/>
      <c r="E635" s="84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ht="15.75" customHeight="1">
      <c r="A636" s="83"/>
      <c r="B636" s="84"/>
      <c r="C636" s="84"/>
      <c r="D636" s="84"/>
      <c r="E636" s="84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ht="15.75" customHeight="1">
      <c r="A637" s="83"/>
      <c r="B637" s="84"/>
      <c r="C637" s="84"/>
      <c r="D637" s="84"/>
      <c r="E637" s="84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ht="15.75" customHeight="1">
      <c r="A638" s="83"/>
      <c r="B638" s="84"/>
      <c r="C638" s="84"/>
      <c r="D638" s="84"/>
      <c r="E638" s="84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ht="15.75" customHeight="1">
      <c r="A639" s="83"/>
      <c r="B639" s="84"/>
      <c r="C639" s="84"/>
      <c r="D639" s="84"/>
      <c r="E639" s="84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ht="15.75" customHeight="1">
      <c r="A640" s="83"/>
      <c r="B640" s="84"/>
      <c r="C640" s="84"/>
      <c r="D640" s="84"/>
      <c r="E640" s="84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ht="15.75" customHeight="1">
      <c r="A641" s="83"/>
      <c r="B641" s="84"/>
      <c r="C641" s="84"/>
      <c r="D641" s="84"/>
      <c r="E641" s="84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ht="15.75" customHeight="1">
      <c r="A642" s="83"/>
      <c r="B642" s="84"/>
      <c r="C642" s="84"/>
      <c r="D642" s="84"/>
      <c r="E642" s="84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ht="15.75" customHeight="1">
      <c r="A643" s="83"/>
      <c r="B643" s="84"/>
      <c r="C643" s="84"/>
      <c r="D643" s="84"/>
      <c r="E643" s="84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ht="15.75" customHeight="1">
      <c r="A644" s="83"/>
      <c r="B644" s="84"/>
      <c r="C644" s="84"/>
      <c r="D644" s="84"/>
      <c r="E644" s="84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ht="15.75" customHeight="1">
      <c r="A645" s="83"/>
      <c r="B645" s="84"/>
      <c r="C645" s="84"/>
      <c r="D645" s="84"/>
      <c r="E645" s="84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ht="15.75" customHeight="1">
      <c r="A646" s="83"/>
      <c r="B646" s="84"/>
      <c r="C646" s="84"/>
      <c r="D646" s="84"/>
      <c r="E646" s="84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ht="15.75" customHeight="1">
      <c r="A647" s="83"/>
      <c r="B647" s="84"/>
      <c r="C647" s="84"/>
      <c r="D647" s="84"/>
      <c r="E647" s="84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ht="15.75" customHeight="1">
      <c r="A648" s="83"/>
      <c r="B648" s="84"/>
      <c r="C648" s="84"/>
      <c r="D648" s="84"/>
      <c r="E648" s="84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ht="15.75" customHeight="1">
      <c r="A649" s="83"/>
      <c r="B649" s="84"/>
      <c r="C649" s="84"/>
      <c r="D649" s="84"/>
      <c r="E649" s="84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ht="15.75" customHeight="1">
      <c r="A650" s="83"/>
      <c r="B650" s="84"/>
      <c r="C650" s="84"/>
      <c r="D650" s="84"/>
      <c r="E650" s="84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ht="15.75" customHeight="1">
      <c r="A651" s="83"/>
      <c r="B651" s="84"/>
      <c r="C651" s="84"/>
      <c r="D651" s="84"/>
      <c r="E651" s="84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ht="15.75" customHeight="1">
      <c r="A652" s="83"/>
      <c r="B652" s="84"/>
      <c r="C652" s="84"/>
      <c r="D652" s="84"/>
      <c r="E652" s="84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ht="15.75" customHeight="1">
      <c r="A653" s="83"/>
      <c r="B653" s="84"/>
      <c r="C653" s="84"/>
      <c r="D653" s="84"/>
      <c r="E653" s="84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ht="15.75" customHeight="1">
      <c r="A654" s="83"/>
      <c r="B654" s="84"/>
      <c r="C654" s="84"/>
      <c r="D654" s="84"/>
      <c r="E654" s="84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ht="15.75" customHeight="1">
      <c r="A655" s="83"/>
      <c r="B655" s="84"/>
      <c r="C655" s="84"/>
      <c r="D655" s="84"/>
      <c r="E655" s="84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ht="15.75" customHeight="1">
      <c r="A656" s="83"/>
      <c r="B656" s="84"/>
      <c r="C656" s="84"/>
      <c r="D656" s="84"/>
      <c r="E656" s="84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ht="15.75" customHeight="1">
      <c r="A657" s="83"/>
      <c r="B657" s="84"/>
      <c r="C657" s="84"/>
      <c r="D657" s="84"/>
      <c r="E657" s="84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ht="15.75" customHeight="1">
      <c r="A658" s="83"/>
      <c r="B658" s="84"/>
      <c r="C658" s="84"/>
      <c r="D658" s="84"/>
      <c r="E658" s="84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ht="15.75" customHeight="1">
      <c r="A659" s="83"/>
      <c r="B659" s="84"/>
      <c r="C659" s="84"/>
      <c r="D659" s="84"/>
      <c r="E659" s="84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ht="15.75" customHeight="1">
      <c r="A660" s="83"/>
      <c r="B660" s="84"/>
      <c r="C660" s="84"/>
      <c r="D660" s="84"/>
      <c r="E660" s="84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ht="15.75" customHeight="1">
      <c r="A661" s="83"/>
      <c r="B661" s="84"/>
      <c r="C661" s="84"/>
      <c r="D661" s="84"/>
      <c r="E661" s="84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ht="15.75" customHeight="1">
      <c r="A662" s="83"/>
      <c r="B662" s="84"/>
      <c r="C662" s="84"/>
      <c r="D662" s="84"/>
      <c r="E662" s="84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ht="15.75" customHeight="1">
      <c r="A663" s="83"/>
      <c r="B663" s="84"/>
      <c r="C663" s="84"/>
      <c r="D663" s="84"/>
      <c r="E663" s="84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ht="15.75" customHeight="1">
      <c r="A664" s="83"/>
      <c r="B664" s="84"/>
      <c r="C664" s="84"/>
      <c r="D664" s="84"/>
      <c r="E664" s="84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ht="15.75" customHeight="1">
      <c r="A665" s="83"/>
      <c r="B665" s="84"/>
      <c r="C665" s="84"/>
      <c r="D665" s="84"/>
      <c r="E665" s="84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ht="15.75" customHeight="1">
      <c r="A666" s="83"/>
      <c r="B666" s="84"/>
      <c r="C666" s="84"/>
      <c r="D666" s="84"/>
      <c r="E666" s="84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ht="15.75" customHeight="1">
      <c r="A667" s="83"/>
      <c r="B667" s="84"/>
      <c r="C667" s="84"/>
      <c r="D667" s="84"/>
      <c r="E667" s="84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ht="15.75" customHeight="1">
      <c r="A668" s="83"/>
      <c r="B668" s="84"/>
      <c r="C668" s="84"/>
      <c r="D668" s="84"/>
      <c r="E668" s="84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ht="15.75" customHeight="1">
      <c r="A669" s="83"/>
      <c r="B669" s="84"/>
      <c r="C669" s="84"/>
      <c r="D669" s="84"/>
      <c r="E669" s="84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ht="15.75" customHeight="1">
      <c r="A670" s="83"/>
      <c r="B670" s="84"/>
      <c r="C670" s="84"/>
      <c r="D670" s="84"/>
      <c r="E670" s="84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ht="15.75" customHeight="1">
      <c r="A671" s="83"/>
      <c r="B671" s="84"/>
      <c r="C671" s="84"/>
      <c r="D671" s="84"/>
      <c r="E671" s="84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ht="15.75" customHeight="1">
      <c r="A672" s="83"/>
      <c r="B672" s="84"/>
      <c r="C672" s="84"/>
      <c r="D672" s="84"/>
      <c r="E672" s="84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ht="15.75" customHeight="1">
      <c r="A673" s="83"/>
      <c r="B673" s="84"/>
      <c r="C673" s="84"/>
      <c r="D673" s="84"/>
      <c r="E673" s="84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ht="15.75" customHeight="1">
      <c r="A674" s="83"/>
      <c r="B674" s="84"/>
      <c r="C674" s="84"/>
      <c r="D674" s="84"/>
      <c r="E674" s="84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ht="15.75" customHeight="1">
      <c r="A675" s="83"/>
      <c r="B675" s="84"/>
      <c r="C675" s="84"/>
      <c r="D675" s="84"/>
      <c r="E675" s="84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ht="15.75" customHeight="1">
      <c r="A676" s="83"/>
      <c r="B676" s="84"/>
      <c r="C676" s="84"/>
      <c r="D676" s="84"/>
      <c r="E676" s="84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ht="15.75" customHeight="1">
      <c r="A677" s="83"/>
      <c r="B677" s="84"/>
      <c r="C677" s="84"/>
      <c r="D677" s="84"/>
      <c r="E677" s="84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ht="15.75" customHeight="1">
      <c r="A678" s="83"/>
      <c r="B678" s="84"/>
      <c r="C678" s="84"/>
      <c r="D678" s="84"/>
      <c r="E678" s="84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ht="15.75" customHeight="1">
      <c r="A679" s="83"/>
      <c r="B679" s="84"/>
      <c r="C679" s="84"/>
      <c r="D679" s="84"/>
      <c r="E679" s="84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ht="15.75" customHeight="1">
      <c r="A680" s="83"/>
      <c r="B680" s="84"/>
      <c r="C680" s="84"/>
      <c r="D680" s="84"/>
      <c r="E680" s="84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ht="15.75" customHeight="1">
      <c r="A681" s="83"/>
      <c r="B681" s="84"/>
      <c r="C681" s="84"/>
      <c r="D681" s="84"/>
      <c r="E681" s="84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ht="15.75" customHeight="1">
      <c r="A682" s="83"/>
      <c r="B682" s="84"/>
      <c r="C682" s="84"/>
      <c r="D682" s="84"/>
      <c r="E682" s="84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ht="15.75" customHeight="1">
      <c r="A683" s="83"/>
      <c r="B683" s="84"/>
      <c r="C683" s="84"/>
      <c r="D683" s="84"/>
      <c r="E683" s="84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ht="15.75" customHeight="1">
      <c r="A684" s="83"/>
      <c r="B684" s="84"/>
      <c r="C684" s="84"/>
      <c r="D684" s="84"/>
      <c r="E684" s="84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ht="15.75" customHeight="1">
      <c r="A685" s="83"/>
      <c r="B685" s="84"/>
      <c r="C685" s="84"/>
      <c r="D685" s="84"/>
      <c r="E685" s="84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ht="15.75" customHeight="1">
      <c r="A686" s="83"/>
      <c r="B686" s="84"/>
      <c r="C686" s="84"/>
      <c r="D686" s="84"/>
      <c r="E686" s="84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ht="15.75" customHeight="1">
      <c r="A687" s="83"/>
      <c r="B687" s="84"/>
      <c r="C687" s="84"/>
      <c r="D687" s="84"/>
      <c r="E687" s="84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ht="15.75" customHeight="1">
      <c r="A688" s="83"/>
      <c r="B688" s="84"/>
      <c r="C688" s="84"/>
      <c r="D688" s="84"/>
      <c r="E688" s="84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ht="15.75" customHeight="1">
      <c r="A689" s="83"/>
      <c r="B689" s="84"/>
      <c r="C689" s="84"/>
      <c r="D689" s="84"/>
      <c r="E689" s="84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ht="15.75" customHeight="1">
      <c r="A690" s="83"/>
      <c r="B690" s="84"/>
      <c r="C690" s="84"/>
      <c r="D690" s="84"/>
      <c r="E690" s="84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ht="15.75" customHeight="1">
      <c r="A691" s="83"/>
      <c r="B691" s="84"/>
      <c r="C691" s="84"/>
      <c r="D691" s="84"/>
      <c r="E691" s="84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ht="15.75" customHeight="1">
      <c r="A692" s="83"/>
      <c r="B692" s="84"/>
      <c r="C692" s="84"/>
      <c r="D692" s="84"/>
      <c r="E692" s="84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ht="15.75" customHeight="1">
      <c r="A693" s="83"/>
      <c r="B693" s="84"/>
      <c r="C693" s="84"/>
      <c r="D693" s="84"/>
      <c r="E693" s="84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ht="15.75" customHeight="1">
      <c r="A694" s="83"/>
      <c r="B694" s="84"/>
      <c r="C694" s="84"/>
      <c r="D694" s="84"/>
      <c r="E694" s="84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ht="15.75" customHeight="1">
      <c r="A695" s="83"/>
      <c r="B695" s="84"/>
      <c r="C695" s="84"/>
      <c r="D695" s="84"/>
      <c r="E695" s="84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ht="15.75" customHeight="1">
      <c r="A696" s="83"/>
      <c r="B696" s="84"/>
      <c r="C696" s="84"/>
      <c r="D696" s="84"/>
      <c r="E696" s="84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ht="15.75" customHeight="1">
      <c r="A697" s="83"/>
      <c r="B697" s="84"/>
      <c r="C697" s="84"/>
      <c r="D697" s="84"/>
      <c r="E697" s="84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ht="15.75" customHeight="1">
      <c r="A698" s="83"/>
      <c r="B698" s="84"/>
      <c r="C698" s="84"/>
      <c r="D698" s="84"/>
      <c r="E698" s="84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ht="15.75" customHeight="1">
      <c r="A699" s="83"/>
      <c r="B699" s="84"/>
      <c r="C699" s="84"/>
      <c r="D699" s="84"/>
      <c r="E699" s="84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ht="15.75" customHeight="1">
      <c r="A700" s="83"/>
      <c r="B700" s="84"/>
      <c r="C700" s="84"/>
      <c r="D700" s="84"/>
      <c r="E700" s="84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ht="15.75" customHeight="1">
      <c r="A701" s="83"/>
      <c r="B701" s="84"/>
      <c r="C701" s="84"/>
      <c r="D701" s="84"/>
      <c r="E701" s="84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ht="15.75" customHeight="1">
      <c r="A702" s="83"/>
      <c r="B702" s="84"/>
      <c r="C702" s="84"/>
      <c r="D702" s="84"/>
      <c r="E702" s="84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ht="15.75" customHeight="1">
      <c r="A703" s="83"/>
      <c r="B703" s="84"/>
      <c r="C703" s="84"/>
      <c r="D703" s="84"/>
      <c r="E703" s="84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ht="15.75" customHeight="1">
      <c r="A704" s="83"/>
      <c r="B704" s="84"/>
      <c r="C704" s="84"/>
      <c r="D704" s="84"/>
      <c r="E704" s="84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ht="15.75" customHeight="1">
      <c r="A705" s="83"/>
      <c r="B705" s="84"/>
      <c r="C705" s="84"/>
      <c r="D705" s="84"/>
      <c r="E705" s="84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ht="15.75" customHeight="1">
      <c r="A706" s="83"/>
      <c r="B706" s="84"/>
      <c r="C706" s="84"/>
      <c r="D706" s="84"/>
      <c r="E706" s="84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ht="15.75" customHeight="1">
      <c r="A707" s="83"/>
      <c r="B707" s="84"/>
      <c r="C707" s="84"/>
      <c r="D707" s="84"/>
      <c r="E707" s="84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ht="15.75" customHeight="1">
      <c r="A708" s="83"/>
      <c r="B708" s="84"/>
      <c r="C708" s="84"/>
      <c r="D708" s="84"/>
      <c r="E708" s="84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ht="15.75" customHeight="1">
      <c r="A709" s="83"/>
      <c r="B709" s="84"/>
      <c r="C709" s="84"/>
      <c r="D709" s="84"/>
      <c r="E709" s="84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ht="15.75" customHeight="1">
      <c r="A710" s="83"/>
      <c r="B710" s="84"/>
      <c r="C710" s="84"/>
      <c r="D710" s="84"/>
      <c r="E710" s="84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ht="15.75" customHeight="1">
      <c r="A711" s="83"/>
      <c r="B711" s="84"/>
      <c r="C711" s="84"/>
      <c r="D711" s="84"/>
      <c r="E711" s="84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ht="15.75" customHeight="1">
      <c r="A712" s="83"/>
      <c r="B712" s="84"/>
      <c r="C712" s="84"/>
      <c r="D712" s="84"/>
      <c r="E712" s="84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ht="15.75" customHeight="1">
      <c r="A713" s="83"/>
      <c r="B713" s="84"/>
      <c r="C713" s="84"/>
      <c r="D713" s="84"/>
      <c r="E713" s="84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ht="15.75" customHeight="1">
      <c r="A714" s="83"/>
      <c r="B714" s="84"/>
      <c r="C714" s="84"/>
      <c r="D714" s="84"/>
      <c r="E714" s="84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ht="15.75" customHeight="1">
      <c r="A715" s="83"/>
      <c r="B715" s="84"/>
      <c r="C715" s="84"/>
      <c r="D715" s="84"/>
      <c r="E715" s="84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ht="15.75" customHeight="1">
      <c r="A716" s="83"/>
      <c r="B716" s="84"/>
      <c r="C716" s="84"/>
      <c r="D716" s="84"/>
      <c r="E716" s="84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ht="15.75" customHeight="1">
      <c r="A717" s="83"/>
      <c r="B717" s="84"/>
      <c r="C717" s="84"/>
      <c r="D717" s="84"/>
      <c r="E717" s="84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ht="15.75" customHeight="1">
      <c r="A718" s="83"/>
      <c r="B718" s="84"/>
      <c r="C718" s="84"/>
      <c r="D718" s="84"/>
      <c r="E718" s="84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ht="15.75" customHeight="1">
      <c r="A719" s="83"/>
      <c r="B719" s="84"/>
      <c r="C719" s="84"/>
      <c r="D719" s="84"/>
      <c r="E719" s="84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ht="15.75" customHeight="1">
      <c r="A720" s="83"/>
      <c r="B720" s="84"/>
      <c r="C720" s="84"/>
      <c r="D720" s="84"/>
      <c r="E720" s="84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ht="15.75" customHeight="1">
      <c r="A721" s="83"/>
      <c r="B721" s="84"/>
      <c r="C721" s="84"/>
      <c r="D721" s="84"/>
      <c r="E721" s="84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ht="15.75" customHeight="1">
      <c r="A722" s="83"/>
      <c r="B722" s="84"/>
      <c r="C722" s="84"/>
      <c r="D722" s="84"/>
      <c r="E722" s="84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ht="15.75" customHeight="1">
      <c r="A723" s="83"/>
      <c r="B723" s="84"/>
      <c r="C723" s="84"/>
      <c r="D723" s="84"/>
      <c r="E723" s="84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ht="15.75" customHeight="1">
      <c r="A724" s="83"/>
      <c r="B724" s="84"/>
      <c r="C724" s="84"/>
      <c r="D724" s="84"/>
      <c r="E724" s="84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ht="15.75" customHeight="1">
      <c r="A725" s="83"/>
      <c r="B725" s="84"/>
      <c r="C725" s="84"/>
      <c r="D725" s="84"/>
      <c r="E725" s="84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ht="15.75" customHeight="1">
      <c r="A726" s="83"/>
      <c r="B726" s="84"/>
      <c r="C726" s="84"/>
      <c r="D726" s="84"/>
      <c r="E726" s="84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ht="15.75" customHeight="1">
      <c r="A727" s="83"/>
      <c r="B727" s="84"/>
      <c r="C727" s="84"/>
      <c r="D727" s="84"/>
      <c r="E727" s="84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ht="15.75" customHeight="1">
      <c r="A728" s="83"/>
      <c r="B728" s="84"/>
      <c r="C728" s="84"/>
      <c r="D728" s="84"/>
      <c r="E728" s="84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ht="15.75" customHeight="1">
      <c r="A729" s="83"/>
      <c r="B729" s="84"/>
      <c r="C729" s="84"/>
      <c r="D729" s="84"/>
      <c r="E729" s="84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ht="15.75" customHeight="1">
      <c r="A730" s="83"/>
      <c r="B730" s="84"/>
      <c r="C730" s="84"/>
      <c r="D730" s="84"/>
      <c r="E730" s="84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ht="15.75" customHeight="1">
      <c r="A731" s="83"/>
      <c r="B731" s="84"/>
      <c r="C731" s="84"/>
      <c r="D731" s="84"/>
      <c r="E731" s="84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ht="15.75" customHeight="1">
      <c r="A732" s="83"/>
      <c r="B732" s="84"/>
      <c r="C732" s="84"/>
      <c r="D732" s="84"/>
      <c r="E732" s="84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ht="15.75" customHeight="1">
      <c r="A733" s="83"/>
      <c r="B733" s="84"/>
      <c r="C733" s="84"/>
      <c r="D733" s="84"/>
      <c r="E733" s="84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ht="15.75" customHeight="1">
      <c r="A734" s="83"/>
      <c r="B734" s="84"/>
      <c r="C734" s="84"/>
      <c r="D734" s="84"/>
      <c r="E734" s="84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ht="15.75" customHeight="1">
      <c r="A735" s="83"/>
      <c r="B735" s="84"/>
      <c r="C735" s="84"/>
      <c r="D735" s="84"/>
      <c r="E735" s="84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ht="15.75" customHeight="1">
      <c r="A736" s="83"/>
      <c r="B736" s="84"/>
      <c r="C736" s="84"/>
      <c r="D736" s="84"/>
      <c r="E736" s="84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ht="15.75" customHeight="1">
      <c r="A737" s="83"/>
      <c r="B737" s="84"/>
      <c r="C737" s="84"/>
      <c r="D737" s="84"/>
      <c r="E737" s="84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ht="15.75" customHeight="1">
      <c r="A738" s="83"/>
      <c r="B738" s="84"/>
      <c r="C738" s="84"/>
      <c r="D738" s="84"/>
      <c r="E738" s="84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ht="15.75" customHeight="1">
      <c r="A739" s="83"/>
      <c r="B739" s="84"/>
      <c r="C739" s="84"/>
      <c r="D739" s="84"/>
      <c r="E739" s="84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ht="15.75" customHeight="1">
      <c r="A740" s="83"/>
      <c r="B740" s="84"/>
      <c r="C740" s="84"/>
      <c r="D740" s="84"/>
      <c r="E740" s="84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ht="15.75" customHeight="1">
      <c r="A741" s="83"/>
      <c r="B741" s="84"/>
      <c r="C741" s="84"/>
      <c r="D741" s="84"/>
      <c r="E741" s="84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ht="15.75" customHeight="1">
      <c r="A742" s="83"/>
      <c r="B742" s="84"/>
      <c r="C742" s="84"/>
      <c r="D742" s="84"/>
      <c r="E742" s="84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ht="15.75" customHeight="1">
      <c r="A743" s="83"/>
      <c r="B743" s="84"/>
      <c r="C743" s="84"/>
      <c r="D743" s="84"/>
      <c r="E743" s="84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ht="15.75" customHeight="1">
      <c r="A744" s="83"/>
      <c r="B744" s="84"/>
      <c r="C744" s="84"/>
      <c r="D744" s="84"/>
      <c r="E744" s="84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ht="15.75" customHeight="1">
      <c r="A745" s="83"/>
      <c r="B745" s="84"/>
      <c r="C745" s="84"/>
      <c r="D745" s="84"/>
      <c r="E745" s="84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ht="15.75" customHeight="1">
      <c r="A746" s="83"/>
      <c r="B746" s="84"/>
      <c r="C746" s="84"/>
      <c r="D746" s="84"/>
      <c r="E746" s="84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ht="15.75" customHeight="1">
      <c r="A747" s="83"/>
      <c r="B747" s="84"/>
      <c r="C747" s="84"/>
      <c r="D747" s="84"/>
      <c r="E747" s="84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ht="15.75" customHeight="1">
      <c r="A748" s="83"/>
      <c r="B748" s="84"/>
      <c r="C748" s="84"/>
      <c r="D748" s="84"/>
      <c r="E748" s="84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ht="15.75" customHeight="1">
      <c r="A749" s="83"/>
      <c r="B749" s="84"/>
      <c r="C749" s="84"/>
      <c r="D749" s="84"/>
      <c r="E749" s="84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ht="15.75" customHeight="1">
      <c r="A750" s="83"/>
      <c r="B750" s="84"/>
      <c r="C750" s="84"/>
      <c r="D750" s="84"/>
      <c r="E750" s="84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ht="15.75" customHeight="1">
      <c r="A751" s="83"/>
      <c r="B751" s="84"/>
      <c r="C751" s="84"/>
      <c r="D751" s="84"/>
      <c r="E751" s="84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ht="15.75" customHeight="1">
      <c r="A752" s="83"/>
      <c r="B752" s="84"/>
      <c r="C752" s="84"/>
      <c r="D752" s="84"/>
      <c r="E752" s="84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ht="15.75" customHeight="1">
      <c r="A753" s="83"/>
      <c r="B753" s="84"/>
      <c r="C753" s="84"/>
      <c r="D753" s="84"/>
      <c r="E753" s="84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ht="15.75" customHeight="1">
      <c r="A754" s="83"/>
      <c r="B754" s="84"/>
      <c r="C754" s="84"/>
      <c r="D754" s="84"/>
      <c r="E754" s="84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ht="15.75" customHeight="1">
      <c r="A755" s="83"/>
      <c r="B755" s="84"/>
      <c r="C755" s="84"/>
      <c r="D755" s="84"/>
      <c r="E755" s="84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ht="15.75" customHeight="1">
      <c r="A756" s="83"/>
      <c r="B756" s="84"/>
      <c r="C756" s="84"/>
      <c r="D756" s="84"/>
      <c r="E756" s="84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ht="15.75" customHeight="1">
      <c r="A757" s="83"/>
      <c r="B757" s="84"/>
      <c r="C757" s="84"/>
      <c r="D757" s="84"/>
      <c r="E757" s="84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ht="15.75" customHeight="1">
      <c r="A758" s="83"/>
      <c r="B758" s="84"/>
      <c r="C758" s="84"/>
      <c r="D758" s="84"/>
      <c r="E758" s="84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ht="15.75" customHeight="1">
      <c r="A759" s="83"/>
      <c r="B759" s="84"/>
      <c r="C759" s="84"/>
      <c r="D759" s="84"/>
      <c r="E759" s="84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ht="15.75" customHeight="1">
      <c r="A760" s="83"/>
      <c r="B760" s="84"/>
      <c r="C760" s="84"/>
      <c r="D760" s="84"/>
      <c r="E760" s="84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ht="15.75" customHeight="1">
      <c r="A761" s="83"/>
      <c r="B761" s="84"/>
      <c r="C761" s="84"/>
      <c r="D761" s="84"/>
      <c r="E761" s="84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ht="15.75" customHeight="1">
      <c r="A762" s="83"/>
      <c r="B762" s="84"/>
      <c r="C762" s="84"/>
      <c r="D762" s="84"/>
      <c r="E762" s="84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ht="15.75" customHeight="1">
      <c r="A763" s="83"/>
      <c r="B763" s="84"/>
      <c r="C763" s="84"/>
      <c r="D763" s="84"/>
      <c r="E763" s="84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ht="15.75" customHeight="1">
      <c r="A764" s="83"/>
      <c r="B764" s="84"/>
      <c r="C764" s="84"/>
      <c r="D764" s="84"/>
      <c r="E764" s="84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ht="15.75" customHeight="1">
      <c r="A765" s="83"/>
      <c r="B765" s="84"/>
      <c r="C765" s="84"/>
      <c r="D765" s="84"/>
      <c r="E765" s="84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ht="15.75" customHeight="1">
      <c r="A766" s="83"/>
      <c r="B766" s="84"/>
      <c r="C766" s="84"/>
      <c r="D766" s="84"/>
      <c r="E766" s="84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ht="15.75" customHeight="1">
      <c r="A767" s="83"/>
      <c r="B767" s="84"/>
      <c r="C767" s="84"/>
      <c r="D767" s="84"/>
      <c r="E767" s="84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ht="15.75" customHeight="1">
      <c r="A768" s="83"/>
      <c r="B768" s="84"/>
      <c r="C768" s="84"/>
      <c r="D768" s="84"/>
      <c r="E768" s="84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ht="15.75" customHeight="1">
      <c r="A769" s="83"/>
      <c r="B769" s="84"/>
      <c r="C769" s="84"/>
      <c r="D769" s="84"/>
      <c r="E769" s="84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ht="15.75" customHeight="1">
      <c r="A770" s="83"/>
      <c r="B770" s="84"/>
      <c r="C770" s="84"/>
      <c r="D770" s="84"/>
      <c r="E770" s="84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ht="15.75" customHeight="1">
      <c r="A771" s="83"/>
      <c r="B771" s="84"/>
      <c r="C771" s="84"/>
      <c r="D771" s="84"/>
      <c r="E771" s="84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ht="15.75" customHeight="1">
      <c r="A772" s="83"/>
      <c r="B772" s="84"/>
      <c r="C772" s="84"/>
      <c r="D772" s="84"/>
      <c r="E772" s="84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ht="15.75" customHeight="1">
      <c r="A773" s="83"/>
      <c r="B773" s="84"/>
      <c r="C773" s="84"/>
      <c r="D773" s="84"/>
      <c r="E773" s="84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ht="15.75" customHeight="1">
      <c r="A774" s="83"/>
      <c r="B774" s="84"/>
      <c r="C774" s="84"/>
      <c r="D774" s="84"/>
      <c r="E774" s="84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ht="15.75" customHeight="1">
      <c r="A775" s="83"/>
      <c r="B775" s="84"/>
      <c r="C775" s="84"/>
      <c r="D775" s="84"/>
      <c r="E775" s="84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ht="15.75" customHeight="1">
      <c r="A776" s="83"/>
      <c r="B776" s="84"/>
      <c r="C776" s="84"/>
      <c r="D776" s="84"/>
      <c r="E776" s="84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ht="15.75" customHeight="1">
      <c r="A777" s="83"/>
      <c r="B777" s="84"/>
      <c r="C777" s="84"/>
      <c r="D777" s="84"/>
      <c r="E777" s="84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ht="15.75" customHeight="1">
      <c r="A778" s="83"/>
      <c r="B778" s="84"/>
      <c r="C778" s="84"/>
      <c r="D778" s="84"/>
      <c r="E778" s="84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ht="15.75" customHeight="1">
      <c r="A779" s="83"/>
      <c r="B779" s="84"/>
      <c r="C779" s="84"/>
      <c r="D779" s="84"/>
      <c r="E779" s="84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ht="15.75" customHeight="1">
      <c r="A780" s="83"/>
      <c r="B780" s="84"/>
      <c r="C780" s="84"/>
      <c r="D780" s="84"/>
      <c r="E780" s="84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ht="15.75" customHeight="1">
      <c r="A781" s="83"/>
      <c r="B781" s="84"/>
      <c r="C781" s="84"/>
      <c r="D781" s="84"/>
      <c r="E781" s="84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ht="15.75" customHeight="1">
      <c r="A782" s="83"/>
      <c r="B782" s="84"/>
      <c r="C782" s="84"/>
      <c r="D782" s="84"/>
      <c r="E782" s="84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ht="15.75" customHeight="1">
      <c r="A783" s="83"/>
      <c r="B783" s="84"/>
      <c r="C783" s="84"/>
      <c r="D783" s="84"/>
      <c r="E783" s="84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ht="15.75" customHeight="1">
      <c r="A784" s="83"/>
      <c r="B784" s="84"/>
      <c r="C784" s="84"/>
      <c r="D784" s="84"/>
      <c r="E784" s="84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ht="15.75" customHeight="1">
      <c r="A785" s="83"/>
      <c r="B785" s="84"/>
      <c r="C785" s="84"/>
      <c r="D785" s="84"/>
      <c r="E785" s="84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ht="15.75" customHeight="1">
      <c r="A786" s="83"/>
      <c r="B786" s="84"/>
      <c r="C786" s="84"/>
      <c r="D786" s="84"/>
      <c r="E786" s="84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ht="15.75" customHeight="1">
      <c r="A787" s="83"/>
      <c r="B787" s="84"/>
      <c r="C787" s="84"/>
      <c r="D787" s="84"/>
      <c r="E787" s="84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ht="15.75" customHeight="1">
      <c r="A788" s="83"/>
      <c r="B788" s="84"/>
      <c r="C788" s="84"/>
      <c r="D788" s="84"/>
      <c r="E788" s="84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ht="15.75" customHeight="1">
      <c r="A789" s="83"/>
      <c r="B789" s="84"/>
      <c r="C789" s="84"/>
      <c r="D789" s="84"/>
      <c r="E789" s="84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ht="15.75" customHeight="1">
      <c r="A790" s="83"/>
      <c r="B790" s="84"/>
      <c r="C790" s="84"/>
      <c r="D790" s="84"/>
      <c r="E790" s="84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ht="15.75" customHeight="1">
      <c r="A791" s="83"/>
      <c r="B791" s="84"/>
      <c r="C791" s="84"/>
      <c r="D791" s="84"/>
      <c r="E791" s="84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ht="15.75" customHeight="1">
      <c r="A792" s="83"/>
      <c r="B792" s="84"/>
      <c r="C792" s="84"/>
      <c r="D792" s="84"/>
      <c r="E792" s="84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ht="15.75" customHeight="1">
      <c r="A793" s="83"/>
      <c r="B793" s="84"/>
      <c r="C793" s="84"/>
      <c r="D793" s="84"/>
      <c r="E793" s="84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ht="15.75" customHeight="1">
      <c r="A794" s="83"/>
      <c r="B794" s="84"/>
      <c r="C794" s="84"/>
      <c r="D794" s="84"/>
      <c r="E794" s="84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ht="15.75" customHeight="1">
      <c r="A795" s="83"/>
      <c r="B795" s="84"/>
      <c r="C795" s="84"/>
      <c r="D795" s="84"/>
      <c r="E795" s="84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ht="15.75" customHeight="1">
      <c r="A796" s="83"/>
      <c r="B796" s="84"/>
      <c r="C796" s="84"/>
      <c r="D796" s="84"/>
      <c r="E796" s="84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ht="15.75" customHeight="1">
      <c r="A797" s="83"/>
      <c r="B797" s="84"/>
      <c r="C797" s="84"/>
      <c r="D797" s="84"/>
      <c r="E797" s="84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ht="15.75" customHeight="1">
      <c r="A798" s="83"/>
      <c r="B798" s="84"/>
      <c r="C798" s="84"/>
      <c r="D798" s="84"/>
      <c r="E798" s="84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ht="15.75" customHeight="1">
      <c r="A799" s="83"/>
      <c r="B799" s="84"/>
      <c r="C799" s="84"/>
      <c r="D799" s="84"/>
      <c r="E799" s="84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ht="15.75" customHeight="1">
      <c r="A800" s="83"/>
      <c r="B800" s="84"/>
      <c r="C800" s="84"/>
      <c r="D800" s="84"/>
      <c r="E800" s="84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ht="15.75" customHeight="1">
      <c r="A801" s="83"/>
      <c r="B801" s="84"/>
      <c r="C801" s="84"/>
      <c r="D801" s="84"/>
      <c r="E801" s="84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ht="15.75" customHeight="1">
      <c r="A802" s="83"/>
      <c r="B802" s="84"/>
      <c r="C802" s="84"/>
      <c r="D802" s="84"/>
      <c r="E802" s="84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ht="15.75" customHeight="1">
      <c r="A803" s="83"/>
      <c r="B803" s="84"/>
      <c r="C803" s="84"/>
      <c r="D803" s="84"/>
      <c r="E803" s="84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ht="15.75" customHeight="1">
      <c r="A804" s="83"/>
      <c r="B804" s="84"/>
      <c r="C804" s="84"/>
      <c r="D804" s="84"/>
      <c r="E804" s="84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ht="15.75" customHeight="1">
      <c r="A805" s="83"/>
      <c r="B805" s="84"/>
      <c r="C805" s="84"/>
      <c r="D805" s="84"/>
      <c r="E805" s="84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ht="15.75" customHeight="1">
      <c r="A806" s="83"/>
      <c r="B806" s="84"/>
      <c r="C806" s="84"/>
      <c r="D806" s="84"/>
      <c r="E806" s="84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ht="15.75" customHeight="1">
      <c r="A807" s="83"/>
      <c r="B807" s="84"/>
      <c r="C807" s="84"/>
      <c r="D807" s="84"/>
      <c r="E807" s="84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ht="15.75" customHeight="1">
      <c r="A808" s="83"/>
      <c r="B808" s="84"/>
      <c r="C808" s="84"/>
      <c r="D808" s="84"/>
      <c r="E808" s="84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ht="15.75" customHeight="1">
      <c r="A809" s="83"/>
      <c r="B809" s="84"/>
      <c r="C809" s="84"/>
      <c r="D809" s="84"/>
      <c r="E809" s="84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ht="15.75" customHeight="1">
      <c r="A810" s="83"/>
      <c r="B810" s="84"/>
      <c r="C810" s="84"/>
      <c r="D810" s="84"/>
      <c r="E810" s="84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ht="15.75" customHeight="1">
      <c r="A811" s="83"/>
      <c r="B811" s="84"/>
      <c r="C811" s="84"/>
      <c r="D811" s="84"/>
      <c r="E811" s="84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ht="15.75" customHeight="1">
      <c r="A812" s="83"/>
      <c r="B812" s="84"/>
      <c r="C812" s="84"/>
      <c r="D812" s="84"/>
      <c r="E812" s="84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ht="15.75" customHeight="1">
      <c r="A813" s="83"/>
      <c r="B813" s="84"/>
      <c r="C813" s="84"/>
      <c r="D813" s="84"/>
      <c r="E813" s="84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ht="15.75" customHeight="1">
      <c r="A814" s="83"/>
      <c r="B814" s="84"/>
      <c r="C814" s="84"/>
      <c r="D814" s="84"/>
      <c r="E814" s="84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ht="15.75" customHeight="1">
      <c r="A815" s="83"/>
      <c r="B815" s="84"/>
      <c r="C815" s="84"/>
      <c r="D815" s="84"/>
      <c r="E815" s="84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ht="15.75" customHeight="1">
      <c r="A816" s="83"/>
      <c r="B816" s="84"/>
      <c r="C816" s="84"/>
      <c r="D816" s="84"/>
      <c r="E816" s="84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ht="15.75" customHeight="1">
      <c r="A817" s="83"/>
      <c r="B817" s="84"/>
      <c r="C817" s="84"/>
      <c r="D817" s="84"/>
      <c r="E817" s="84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ht="15.75" customHeight="1">
      <c r="A818" s="83"/>
      <c r="B818" s="84"/>
      <c r="C818" s="84"/>
      <c r="D818" s="84"/>
      <c r="E818" s="84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ht="15.75" customHeight="1">
      <c r="A819" s="83"/>
      <c r="B819" s="84"/>
      <c r="C819" s="84"/>
      <c r="D819" s="84"/>
      <c r="E819" s="84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ht="15.75" customHeight="1">
      <c r="A820" s="83"/>
      <c r="B820" s="84"/>
      <c r="C820" s="84"/>
      <c r="D820" s="84"/>
      <c r="E820" s="84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ht="15.75" customHeight="1">
      <c r="A821" s="83"/>
      <c r="B821" s="84"/>
      <c r="C821" s="84"/>
      <c r="D821" s="84"/>
      <c r="E821" s="84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ht="15.75" customHeight="1">
      <c r="A822" s="83"/>
      <c r="B822" s="84"/>
      <c r="C822" s="84"/>
      <c r="D822" s="84"/>
      <c r="E822" s="84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ht="15.75" customHeight="1">
      <c r="A823" s="83"/>
      <c r="B823" s="84"/>
      <c r="C823" s="84"/>
      <c r="D823" s="84"/>
      <c r="E823" s="84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ht="15.75" customHeight="1">
      <c r="A824" s="83"/>
      <c r="B824" s="84"/>
      <c r="C824" s="84"/>
      <c r="D824" s="84"/>
      <c r="E824" s="84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ht="15.75" customHeight="1">
      <c r="A825" s="83"/>
      <c r="B825" s="84"/>
      <c r="C825" s="84"/>
      <c r="D825" s="84"/>
      <c r="E825" s="84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ht="15.75" customHeight="1">
      <c r="A826" s="83"/>
      <c r="B826" s="84"/>
      <c r="C826" s="84"/>
      <c r="D826" s="84"/>
      <c r="E826" s="84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ht="15.75" customHeight="1">
      <c r="A827" s="83"/>
      <c r="B827" s="84"/>
      <c r="C827" s="84"/>
      <c r="D827" s="84"/>
      <c r="E827" s="84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ht="15.75" customHeight="1">
      <c r="A828" s="83"/>
      <c r="B828" s="84"/>
      <c r="C828" s="84"/>
      <c r="D828" s="84"/>
      <c r="E828" s="84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ht="15.75" customHeight="1">
      <c r="A829" s="83"/>
      <c r="B829" s="84"/>
      <c r="C829" s="84"/>
      <c r="D829" s="84"/>
      <c r="E829" s="84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ht="15.75" customHeight="1">
      <c r="A830" s="83"/>
      <c r="B830" s="84"/>
      <c r="C830" s="84"/>
      <c r="D830" s="84"/>
      <c r="E830" s="84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ht="15.75" customHeight="1">
      <c r="A831" s="83"/>
      <c r="B831" s="84"/>
      <c r="C831" s="84"/>
      <c r="D831" s="84"/>
      <c r="E831" s="84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ht="15.75" customHeight="1">
      <c r="A832" s="83"/>
      <c r="B832" s="84"/>
      <c r="C832" s="84"/>
      <c r="D832" s="84"/>
      <c r="E832" s="84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ht="15.75" customHeight="1">
      <c r="A833" s="83"/>
      <c r="B833" s="84"/>
      <c r="C833" s="84"/>
      <c r="D833" s="84"/>
      <c r="E833" s="84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ht="15.75" customHeight="1">
      <c r="A834" s="83"/>
      <c r="B834" s="84"/>
      <c r="C834" s="84"/>
      <c r="D834" s="84"/>
      <c r="E834" s="84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ht="15.75" customHeight="1">
      <c r="A835" s="83"/>
      <c r="B835" s="84"/>
      <c r="C835" s="84"/>
      <c r="D835" s="84"/>
      <c r="E835" s="84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ht="15.75" customHeight="1">
      <c r="A836" s="83"/>
      <c r="B836" s="84"/>
      <c r="C836" s="84"/>
      <c r="D836" s="84"/>
      <c r="E836" s="84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ht="15.75" customHeight="1">
      <c r="A837" s="83"/>
      <c r="B837" s="84"/>
      <c r="C837" s="84"/>
      <c r="D837" s="84"/>
      <c r="E837" s="84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ht="15.75" customHeight="1">
      <c r="A838" s="83"/>
      <c r="B838" s="84"/>
      <c r="C838" s="84"/>
      <c r="D838" s="84"/>
      <c r="E838" s="84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ht="15.75" customHeight="1">
      <c r="A839" s="83"/>
      <c r="B839" s="84"/>
      <c r="C839" s="84"/>
      <c r="D839" s="84"/>
      <c r="E839" s="84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ht="15.75" customHeight="1">
      <c r="A840" s="83"/>
      <c r="B840" s="84"/>
      <c r="C840" s="84"/>
      <c r="D840" s="84"/>
      <c r="E840" s="84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ht="15.75" customHeight="1">
      <c r="A841" s="83"/>
      <c r="B841" s="84"/>
      <c r="C841" s="84"/>
      <c r="D841" s="84"/>
      <c r="E841" s="84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ht="15.75" customHeight="1">
      <c r="A842" s="83"/>
      <c r="B842" s="84"/>
      <c r="C842" s="84"/>
      <c r="D842" s="84"/>
      <c r="E842" s="84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ht="15.75" customHeight="1">
      <c r="A843" s="83"/>
      <c r="B843" s="84"/>
      <c r="C843" s="84"/>
      <c r="D843" s="84"/>
      <c r="E843" s="84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ht="15.75" customHeight="1">
      <c r="A844" s="83"/>
      <c r="B844" s="84"/>
      <c r="C844" s="84"/>
      <c r="D844" s="84"/>
      <c r="E844" s="84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ht="15.75" customHeight="1">
      <c r="A845" s="83"/>
      <c r="B845" s="84"/>
      <c r="C845" s="84"/>
      <c r="D845" s="84"/>
      <c r="E845" s="84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ht="15.75" customHeight="1">
      <c r="A846" s="83"/>
      <c r="B846" s="84"/>
      <c r="C846" s="84"/>
      <c r="D846" s="84"/>
      <c r="E846" s="84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ht="15.75" customHeight="1">
      <c r="A847" s="83"/>
      <c r="B847" s="84"/>
      <c r="C847" s="84"/>
      <c r="D847" s="84"/>
      <c r="E847" s="84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ht="15.75" customHeight="1">
      <c r="A848" s="83"/>
      <c r="B848" s="84"/>
      <c r="C848" s="84"/>
      <c r="D848" s="84"/>
      <c r="E848" s="84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ht="15.75" customHeight="1">
      <c r="A849" s="83"/>
      <c r="B849" s="84"/>
      <c r="C849" s="84"/>
      <c r="D849" s="84"/>
      <c r="E849" s="84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ht="15.75" customHeight="1">
      <c r="A850" s="83"/>
      <c r="B850" s="84"/>
      <c r="C850" s="84"/>
      <c r="D850" s="84"/>
      <c r="E850" s="84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ht="15.75" customHeight="1">
      <c r="A851" s="83"/>
      <c r="B851" s="84"/>
      <c r="C851" s="84"/>
      <c r="D851" s="84"/>
      <c r="E851" s="84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ht="15.75" customHeight="1">
      <c r="A852" s="83"/>
      <c r="B852" s="84"/>
      <c r="C852" s="84"/>
      <c r="D852" s="84"/>
      <c r="E852" s="84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ht="15.75" customHeight="1">
      <c r="A853" s="83"/>
      <c r="B853" s="84"/>
      <c r="C853" s="84"/>
      <c r="D853" s="84"/>
      <c r="E853" s="84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ht="15.75" customHeight="1">
      <c r="A854" s="83"/>
      <c r="B854" s="84"/>
      <c r="C854" s="84"/>
      <c r="D854" s="84"/>
      <c r="E854" s="84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ht="15.75" customHeight="1">
      <c r="A855" s="83"/>
      <c r="B855" s="84"/>
      <c r="C855" s="84"/>
      <c r="D855" s="84"/>
      <c r="E855" s="84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ht="15.75" customHeight="1">
      <c r="A856" s="83"/>
      <c r="B856" s="84"/>
      <c r="C856" s="84"/>
      <c r="D856" s="84"/>
      <c r="E856" s="84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ht="15.75" customHeight="1">
      <c r="A857" s="83"/>
      <c r="B857" s="84"/>
      <c r="C857" s="84"/>
      <c r="D857" s="84"/>
      <c r="E857" s="84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ht="15.75" customHeight="1">
      <c r="A858" s="83"/>
      <c r="B858" s="84"/>
      <c r="C858" s="84"/>
      <c r="D858" s="84"/>
      <c r="E858" s="84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ht="15.75" customHeight="1">
      <c r="A859" s="83"/>
      <c r="B859" s="84"/>
      <c r="C859" s="84"/>
      <c r="D859" s="84"/>
      <c r="E859" s="84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ht="15.75" customHeight="1">
      <c r="A860" s="83"/>
      <c r="B860" s="84"/>
      <c r="C860" s="84"/>
      <c r="D860" s="84"/>
      <c r="E860" s="84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ht="15.75" customHeight="1">
      <c r="A861" s="83"/>
      <c r="B861" s="84"/>
      <c r="C861" s="84"/>
      <c r="D861" s="84"/>
      <c r="E861" s="84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ht="15.75" customHeight="1">
      <c r="A862" s="83"/>
      <c r="B862" s="84"/>
      <c r="C862" s="84"/>
      <c r="D862" s="84"/>
      <c r="E862" s="84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ht="15.75" customHeight="1">
      <c r="A863" s="83"/>
      <c r="B863" s="84"/>
      <c r="C863" s="84"/>
      <c r="D863" s="84"/>
      <c r="E863" s="84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ht="15.75" customHeight="1">
      <c r="A864" s="83"/>
      <c r="B864" s="84"/>
      <c r="C864" s="84"/>
      <c r="D864" s="84"/>
      <c r="E864" s="84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ht="15.75" customHeight="1">
      <c r="A865" s="83"/>
      <c r="B865" s="84"/>
      <c r="C865" s="84"/>
      <c r="D865" s="84"/>
      <c r="E865" s="84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ht="15.75" customHeight="1">
      <c r="A866" s="83"/>
      <c r="B866" s="84"/>
      <c r="C866" s="84"/>
      <c r="D866" s="84"/>
      <c r="E866" s="84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ht="15.75" customHeight="1">
      <c r="A867" s="83"/>
      <c r="B867" s="84"/>
      <c r="C867" s="84"/>
      <c r="D867" s="84"/>
      <c r="E867" s="84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ht="15.75" customHeight="1">
      <c r="A868" s="83"/>
      <c r="B868" s="84"/>
      <c r="C868" s="84"/>
      <c r="D868" s="84"/>
      <c r="E868" s="84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ht="15.75" customHeight="1">
      <c r="A869" s="83"/>
      <c r="B869" s="84"/>
      <c r="C869" s="84"/>
      <c r="D869" s="84"/>
      <c r="E869" s="84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ht="15.75" customHeight="1">
      <c r="A870" s="83"/>
      <c r="B870" s="84"/>
      <c r="C870" s="84"/>
      <c r="D870" s="84"/>
      <c r="E870" s="84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ht="15.75" customHeight="1">
      <c r="A871" s="83"/>
      <c r="B871" s="84"/>
      <c r="C871" s="84"/>
      <c r="D871" s="84"/>
      <c r="E871" s="84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ht="15.75" customHeight="1">
      <c r="A872" s="83"/>
      <c r="B872" s="84"/>
      <c r="C872" s="84"/>
      <c r="D872" s="84"/>
      <c r="E872" s="84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ht="15.75" customHeight="1">
      <c r="A873" s="83"/>
      <c r="B873" s="84"/>
      <c r="C873" s="84"/>
      <c r="D873" s="84"/>
      <c r="E873" s="84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ht="15.75" customHeight="1">
      <c r="A874" s="83"/>
      <c r="B874" s="84"/>
      <c r="C874" s="84"/>
      <c r="D874" s="84"/>
      <c r="E874" s="84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ht="15.75" customHeight="1">
      <c r="A875" s="83"/>
      <c r="B875" s="84"/>
      <c r="C875" s="84"/>
      <c r="D875" s="84"/>
      <c r="E875" s="84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ht="15.75" customHeight="1">
      <c r="A876" s="83"/>
      <c r="B876" s="84"/>
      <c r="C876" s="84"/>
      <c r="D876" s="84"/>
      <c r="E876" s="84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ht="15.75" customHeight="1">
      <c r="A877" s="83"/>
      <c r="B877" s="84"/>
      <c r="C877" s="84"/>
      <c r="D877" s="84"/>
      <c r="E877" s="84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ht="15.75" customHeight="1">
      <c r="A878" s="83"/>
      <c r="B878" s="84"/>
      <c r="C878" s="84"/>
      <c r="D878" s="84"/>
      <c r="E878" s="84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ht="15.75" customHeight="1">
      <c r="A879" s="83"/>
      <c r="B879" s="84"/>
      <c r="C879" s="84"/>
      <c r="D879" s="84"/>
      <c r="E879" s="84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ht="15.75" customHeight="1">
      <c r="A880" s="83"/>
      <c r="B880" s="84"/>
      <c r="C880" s="84"/>
      <c r="D880" s="84"/>
      <c r="E880" s="84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ht="15.75" customHeight="1">
      <c r="A881" s="83"/>
      <c r="B881" s="84"/>
      <c r="C881" s="84"/>
      <c r="D881" s="84"/>
      <c r="E881" s="84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ht="15.75" customHeight="1">
      <c r="A882" s="83"/>
      <c r="B882" s="84"/>
      <c r="C882" s="84"/>
      <c r="D882" s="84"/>
      <c r="E882" s="84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ht="15.75" customHeight="1">
      <c r="A883" s="83"/>
      <c r="B883" s="84"/>
      <c r="C883" s="84"/>
      <c r="D883" s="84"/>
      <c r="E883" s="84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ht="15.75" customHeight="1">
      <c r="A884" s="83"/>
      <c r="B884" s="84"/>
      <c r="C884" s="84"/>
      <c r="D884" s="84"/>
      <c r="E884" s="84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ht="15.75" customHeight="1">
      <c r="A885" s="83"/>
      <c r="B885" s="84"/>
      <c r="C885" s="84"/>
      <c r="D885" s="84"/>
      <c r="E885" s="84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ht="15.75" customHeight="1">
      <c r="A886" s="83"/>
      <c r="B886" s="84"/>
      <c r="C886" s="84"/>
      <c r="D886" s="84"/>
      <c r="E886" s="84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ht="15.75" customHeight="1">
      <c r="A887" s="83"/>
      <c r="B887" s="84"/>
      <c r="C887" s="84"/>
      <c r="D887" s="84"/>
      <c r="E887" s="84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ht="15.75" customHeight="1">
      <c r="A888" s="83"/>
      <c r="B888" s="84"/>
      <c r="C888" s="84"/>
      <c r="D888" s="84"/>
      <c r="E888" s="84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ht="15.75" customHeight="1">
      <c r="A889" s="83"/>
      <c r="B889" s="84"/>
      <c r="C889" s="84"/>
      <c r="D889" s="84"/>
      <c r="E889" s="84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ht="15.75" customHeight="1">
      <c r="A890" s="83"/>
      <c r="B890" s="84"/>
      <c r="C890" s="84"/>
      <c r="D890" s="84"/>
      <c r="E890" s="84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ht="15.75" customHeight="1">
      <c r="A891" s="83"/>
      <c r="B891" s="84"/>
      <c r="C891" s="84"/>
      <c r="D891" s="84"/>
      <c r="E891" s="84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ht="15.75" customHeight="1">
      <c r="A892" s="83"/>
      <c r="B892" s="84"/>
      <c r="C892" s="84"/>
      <c r="D892" s="84"/>
      <c r="E892" s="84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ht="15.75" customHeight="1">
      <c r="A893" s="83"/>
      <c r="B893" s="84"/>
      <c r="C893" s="84"/>
      <c r="D893" s="84"/>
      <c r="E893" s="84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ht="15.75" customHeight="1">
      <c r="A894" s="83"/>
      <c r="B894" s="84"/>
      <c r="C894" s="84"/>
      <c r="D894" s="84"/>
      <c r="E894" s="84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ht="15.75" customHeight="1">
      <c r="A895" s="83"/>
      <c r="B895" s="84"/>
      <c r="C895" s="84"/>
      <c r="D895" s="84"/>
      <c r="E895" s="84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ht="15.75" customHeight="1">
      <c r="A896" s="83"/>
      <c r="B896" s="84"/>
      <c r="C896" s="84"/>
      <c r="D896" s="84"/>
      <c r="E896" s="84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ht="15.75" customHeight="1">
      <c r="A897" s="83"/>
      <c r="B897" s="84"/>
      <c r="C897" s="84"/>
      <c r="D897" s="84"/>
      <c r="E897" s="84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ht="15.75" customHeight="1">
      <c r="A898" s="83"/>
      <c r="B898" s="84"/>
      <c r="C898" s="84"/>
      <c r="D898" s="84"/>
      <c r="E898" s="84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ht="15.75" customHeight="1">
      <c r="A899" s="83"/>
      <c r="B899" s="84"/>
      <c r="C899" s="84"/>
      <c r="D899" s="84"/>
      <c r="E899" s="84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ht="15.75" customHeight="1">
      <c r="A900" s="83"/>
      <c r="B900" s="84"/>
      <c r="C900" s="84"/>
      <c r="D900" s="84"/>
      <c r="E900" s="84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ht="15.75" customHeight="1">
      <c r="A901" s="83"/>
      <c r="B901" s="84"/>
      <c r="C901" s="84"/>
      <c r="D901" s="84"/>
      <c r="E901" s="84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ht="15.75" customHeight="1">
      <c r="A902" s="83"/>
      <c r="B902" s="84"/>
      <c r="C902" s="84"/>
      <c r="D902" s="84"/>
      <c r="E902" s="84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ht="15.75" customHeight="1">
      <c r="A903" s="83"/>
      <c r="B903" s="84"/>
      <c r="C903" s="84"/>
      <c r="D903" s="84"/>
      <c r="E903" s="84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ht="15.75" customHeight="1">
      <c r="A904" s="83"/>
      <c r="B904" s="84"/>
      <c r="C904" s="84"/>
      <c r="D904" s="84"/>
      <c r="E904" s="84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ht="15.75" customHeight="1">
      <c r="A905" s="83"/>
      <c r="B905" s="84"/>
      <c r="C905" s="84"/>
      <c r="D905" s="84"/>
      <c r="E905" s="84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ht="15.75" customHeight="1">
      <c r="A906" s="83"/>
      <c r="B906" s="84"/>
      <c r="C906" s="84"/>
      <c r="D906" s="84"/>
      <c r="E906" s="84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ht="15.75" customHeight="1">
      <c r="A907" s="83"/>
      <c r="B907" s="84"/>
      <c r="C907" s="84"/>
      <c r="D907" s="84"/>
      <c r="E907" s="84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ht="15.75" customHeight="1">
      <c r="A908" s="83"/>
      <c r="B908" s="84"/>
      <c r="C908" s="84"/>
      <c r="D908" s="84"/>
      <c r="E908" s="84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ht="15.75" customHeight="1">
      <c r="A909" s="83"/>
      <c r="B909" s="84"/>
      <c r="C909" s="84"/>
      <c r="D909" s="84"/>
      <c r="E909" s="84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ht="15.75" customHeight="1">
      <c r="A910" s="83"/>
      <c r="B910" s="84"/>
      <c r="C910" s="84"/>
      <c r="D910" s="84"/>
      <c r="E910" s="84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ht="15.75" customHeight="1">
      <c r="A911" s="83"/>
      <c r="B911" s="84"/>
      <c r="C911" s="84"/>
      <c r="D911" s="84"/>
      <c r="E911" s="84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ht="15.75" customHeight="1">
      <c r="A912" s="83"/>
      <c r="B912" s="84"/>
      <c r="C912" s="84"/>
      <c r="D912" s="84"/>
      <c r="E912" s="84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ht="15.75" customHeight="1">
      <c r="A913" s="83"/>
      <c r="B913" s="84"/>
      <c r="C913" s="84"/>
      <c r="D913" s="84"/>
      <c r="E913" s="84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ht="15.75" customHeight="1">
      <c r="A914" s="83"/>
      <c r="B914" s="84"/>
      <c r="C914" s="84"/>
      <c r="D914" s="84"/>
      <c r="E914" s="84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ht="15.75" customHeight="1">
      <c r="A915" s="83"/>
      <c r="B915" s="84"/>
      <c r="C915" s="84"/>
      <c r="D915" s="84"/>
      <c r="E915" s="84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ht="15.75" customHeight="1">
      <c r="A916" s="83"/>
      <c r="B916" s="84"/>
      <c r="C916" s="84"/>
      <c r="D916" s="84"/>
      <c r="E916" s="84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ht="15.75" customHeight="1">
      <c r="A917" s="83"/>
      <c r="B917" s="84"/>
      <c r="C917" s="84"/>
      <c r="D917" s="84"/>
      <c r="E917" s="84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ht="15.75" customHeight="1">
      <c r="A918" s="83"/>
      <c r="B918" s="84"/>
      <c r="C918" s="84"/>
      <c r="D918" s="84"/>
      <c r="E918" s="84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ht="15.75" customHeight="1">
      <c r="A919" s="83"/>
      <c r="B919" s="84"/>
      <c r="C919" s="84"/>
      <c r="D919" s="84"/>
      <c r="E919" s="84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ht="15.75" customHeight="1">
      <c r="A920" s="83"/>
      <c r="B920" s="84"/>
      <c r="C920" s="84"/>
      <c r="D920" s="84"/>
      <c r="E920" s="84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ht="15.75" customHeight="1">
      <c r="A921" s="83"/>
      <c r="B921" s="84"/>
      <c r="C921" s="84"/>
      <c r="D921" s="84"/>
      <c r="E921" s="84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ht="15.75" customHeight="1">
      <c r="A922" s="83"/>
      <c r="B922" s="84"/>
      <c r="C922" s="84"/>
      <c r="D922" s="84"/>
      <c r="E922" s="84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ht="15.75" customHeight="1">
      <c r="A923" s="83"/>
      <c r="B923" s="84"/>
      <c r="C923" s="84"/>
      <c r="D923" s="84"/>
      <c r="E923" s="84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ht="15.75" customHeight="1">
      <c r="A924" s="83"/>
      <c r="B924" s="84"/>
      <c r="C924" s="84"/>
      <c r="D924" s="84"/>
      <c r="E924" s="84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ht="15.75" customHeight="1">
      <c r="A925" s="83"/>
      <c r="B925" s="84"/>
      <c r="C925" s="84"/>
      <c r="D925" s="84"/>
      <c r="E925" s="84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ht="15.75" customHeight="1">
      <c r="A926" s="83"/>
      <c r="B926" s="84"/>
      <c r="C926" s="84"/>
      <c r="D926" s="84"/>
      <c r="E926" s="84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ht="15.75" customHeight="1">
      <c r="A927" s="83"/>
      <c r="B927" s="84"/>
      <c r="C927" s="84"/>
      <c r="D927" s="84"/>
      <c r="E927" s="84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ht="15.75" customHeight="1">
      <c r="A928" s="83"/>
      <c r="B928" s="84"/>
      <c r="C928" s="84"/>
      <c r="D928" s="84"/>
      <c r="E928" s="84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ht="15.75" customHeight="1">
      <c r="A929" s="83"/>
      <c r="B929" s="84"/>
      <c r="C929" s="84"/>
      <c r="D929" s="84"/>
      <c r="E929" s="84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ht="15.75" customHeight="1">
      <c r="A930" s="83"/>
      <c r="B930" s="84"/>
      <c r="C930" s="84"/>
      <c r="D930" s="84"/>
      <c r="E930" s="84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ht="15.75" customHeight="1">
      <c r="A931" s="83"/>
      <c r="B931" s="84"/>
      <c r="C931" s="84"/>
      <c r="D931" s="84"/>
      <c r="E931" s="84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ht="15.75" customHeight="1">
      <c r="A932" s="83"/>
      <c r="B932" s="84"/>
      <c r="C932" s="84"/>
      <c r="D932" s="84"/>
      <c r="E932" s="84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ht="15.75" customHeight="1">
      <c r="A933" s="83"/>
      <c r="B933" s="84"/>
      <c r="C933" s="84"/>
      <c r="D933" s="84"/>
      <c r="E933" s="84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ht="15.75" customHeight="1">
      <c r="A934" s="83"/>
      <c r="B934" s="84"/>
      <c r="C934" s="84"/>
      <c r="D934" s="84"/>
      <c r="E934" s="84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ht="15.75" customHeight="1">
      <c r="A935" s="83"/>
      <c r="B935" s="84"/>
      <c r="C935" s="84"/>
      <c r="D935" s="84"/>
      <c r="E935" s="84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ht="15.75" customHeight="1">
      <c r="A936" s="83"/>
      <c r="B936" s="84"/>
      <c r="C936" s="84"/>
      <c r="D936" s="84"/>
      <c r="E936" s="84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ht="15.75" customHeight="1">
      <c r="A937" s="83"/>
      <c r="B937" s="84"/>
      <c r="C937" s="84"/>
      <c r="D937" s="84"/>
      <c r="E937" s="84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ht="15.75" customHeight="1">
      <c r="A938" s="83"/>
      <c r="B938" s="84"/>
      <c r="C938" s="84"/>
      <c r="D938" s="84"/>
      <c r="E938" s="84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ht="15.75" customHeight="1">
      <c r="A939" s="83"/>
      <c r="B939" s="84"/>
      <c r="C939" s="84"/>
      <c r="D939" s="84"/>
      <c r="E939" s="84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ht="15.75" customHeight="1">
      <c r="A940" s="83"/>
      <c r="B940" s="84"/>
      <c r="C940" s="84"/>
      <c r="D940" s="84"/>
      <c r="E940" s="84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ht="15.75" customHeight="1">
      <c r="A941" s="83"/>
      <c r="B941" s="84"/>
      <c r="C941" s="84"/>
      <c r="D941" s="84"/>
      <c r="E941" s="84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ht="15.75" customHeight="1">
      <c r="A942" s="83"/>
      <c r="B942" s="84"/>
      <c r="C942" s="84"/>
      <c r="D942" s="84"/>
      <c r="E942" s="84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ht="15.75" customHeight="1">
      <c r="A943" s="83"/>
      <c r="B943" s="84"/>
      <c r="C943" s="84"/>
      <c r="D943" s="84"/>
      <c r="E943" s="84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ht="15.75" customHeight="1">
      <c r="A944" s="83"/>
      <c r="B944" s="84"/>
      <c r="C944" s="84"/>
      <c r="D944" s="84"/>
      <c r="E944" s="84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ht="15.75" customHeight="1">
      <c r="A945" s="83"/>
      <c r="B945" s="84"/>
      <c r="C945" s="84"/>
      <c r="D945" s="84"/>
      <c r="E945" s="84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ht="15.75" customHeight="1">
      <c r="A946" s="83"/>
      <c r="B946" s="84"/>
      <c r="C946" s="84"/>
      <c r="D946" s="84"/>
      <c r="E946" s="84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ht="15.75" customHeight="1">
      <c r="A947" s="83"/>
      <c r="B947" s="84"/>
      <c r="C947" s="84"/>
      <c r="D947" s="84"/>
      <c r="E947" s="84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ht="15.75" customHeight="1">
      <c r="A948" s="83"/>
      <c r="B948" s="84"/>
      <c r="C948" s="84"/>
      <c r="D948" s="84"/>
      <c r="E948" s="84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ht="15.75" customHeight="1">
      <c r="A949" s="83"/>
      <c r="B949" s="84"/>
      <c r="C949" s="84"/>
      <c r="D949" s="84"/>
      <c r="E949" s="84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ht="15.75" customHeight="1">
      <c r="A950" s="83"/>
      <c r="B950" s="84"/>
      <c r="C950" s="84"/>
      <c r="D950" s="84"/>
      <c r="E950" s="84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ht="15.75" customHeight="1">
      <c r="A951" s="83"/>
      <c r="B951" s="84"/>
      <c r="C951" s="84"/>
      <c r="D951" s="84"/>
      <c r="E951" s="84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ht="15.75" customHeight="1">
      <c r="A952" s="83"/>
      <c r="B952" s="84"/>
      <c r="C952" s="84"/>
      <c r="D952" s="84"/>
      <c r="E952" s="84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ht="15.75" customHeight="1">
      <c r="A953" s="83"/>
      <c r="B953" s="84"/>
      <c r="C953" s="84"/>
      <c r="D953" s="84"/>
      <c r="E953" s="84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ht="15.75" customHeight="1">
      <c r="A954" s="83"/>
      <c r="B954" s="84"/>
      <c r="C954" s="84"/>
      <c r="D954" s="84"/>
      <c r="E954" s="84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ht="15.75" customHeight="1">
      <c r="A955" s="83"/>
      <c r="B955" s="84"/>
      <c r="C955" s="84"/>
      <c r="D955" s="84"/>
      <c r="E955" s="84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ht="15.75" customHeight="1">
      <c r="A956" s="83"/>
      <c r="B956" s="84"/>
      <c r="C956" s="84"/>
      <c r="D956" s="84"/>
      <c r="E956" s="84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ht="15.75" customHeight="1">
      <c r="A957" s="83"/>
      <c r="B957" s="84"/>
      <c r="C957" s="84"/>
      <c r="D957" s="84"/>
      <c r="E957" s="84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ht="15.75" customHeight="1">
      <c r="A958" s="83"/>
      <c r="B958" s="84"/>
      <c r="C958" s="84"/>
      <c r="D958" s="84"/>
      <c r="E958" s="84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ht="15.75" customHeight="1">
      <c r="A959" s="83"/>
      <c r="B959" s="84"/>
      <c r="C959" s="84"/>
      <c r="D959" s="84"/>
      <c r="E959" s="84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ht="15.75" customHeight="1">
      <c r="A960" s="83"/>
      <c r="B960" s="84"/>
      <c r="C960" s="84"/>
      <c r="D960" s="84"/>
      <c r="E960" s="84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ht="15.75" customHeight="1">
      <c r="A961" s="83"/>
      <c r="B961" s="84"/>
      <c r="C961" s="84"/>
      <c r="D961" s="84"/>
      <c r="E961" s="84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ht="15.75" customHeight="1">
      <c r="A962" s="83"/>
      <c r="B962" s="84"/>
      <c r="C962" s="84"/>
      <c r="D962" s="84"/>
      <c r="E962" s="84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ht="15.75" customHeight="1">
      <c r="A963" s="83"/>
      <c r="B963" s="84"/>
      <c r="C963" s="84"/>
      <c r="D963" s="84"/>
      <c r="E963" s="84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ht="15.75" customHeight="1">
      <c r="A964" s="83"/>
      <c r="B964" s="84"/>
      <c r="C964" s="84"/>
      <c r="D964" s="84"/>
      <c r="E964" s="84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ht="15.75" customHeight="1">
      <c r="A965" s="83"/>
      <c r="B965" s="84"/>
      <c r="C965" s="84"/>
      <c r="D965" s="84"/>
      <c r="E965" s="84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ht="15.75" customHeight="1">
      <c r="A966" s="83"/>
      <c r="B966" s="84"/>
      <c r="C966" s="84"/>
      <c r="D966" s="84"/>
      <c r="E966" s="84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ht="15.75" customHeight="1">
      <c r="A967" s="83"/>
      <c r="B967" s="84"/>
      <c r="C967" s="84"/>
      <c r="D967" s="84"/>
      <c r="E967" s="84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ht="15.75" customHeight="1">
      <c r="A968" s="83"/>
      <c r="B968" s="84"/>
      <c r="C968" s="84"/>
      <c r="D968" s="84"/>
      <c r="E968" s="84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ht="15.75" customHeight="1">
      <c r="A969" s="83"/>
      <c r="B969" s="84"/>
      <c r="C969" s="84"/>
      <c r="D969" s="84"/>
      <c r="E969" s="84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ht="15.75" customHeight="1">
      <c r="A970" s="83"/>
      <c r="B970" s="84"/>
      <c r="C970" s="84"/>
      <c r="D970" s="84"/>
      <c r="E970" s="84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ht="15.75" customHeight="1">
      <c r="A971" s="83"/>
      <c r="B971" s="84"/>
      <c r="C971" s="84"/>
      <c r="D971" s="84"/>
      <c r="E971" s="84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ht="15.75" customHeight="1">
      <c r="A972" s="83"/>
      <c r="B972" s="84"/>
      <c r="C972" s="84"/>
      <c r="D972" s="84"/>
      <c r="E972" s="84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ht="15.75" customHeight="1">
      <c r="A973" s="83"/>
      <c r="B973" s="84"/>
      <c r="C973" s="84"/>
      <c r="D973" s="84"/>
      <c r="E973" s="84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ht="15.75" customHeight="1">
      <c r="A974" s="83"/>
      <c r="B974" s="84"/>
      <c r="C974" s="84"/>
      <c r="D974" s="84"/>
      <c r="E974" s="84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ht="15.75" customHeight="1">
      <c r="A975" s="83"/>
      <c r="B975" s="84"/>
      <c r="C975" s="84"/>
      <c r="D975" s="84"/>
      <c r="E975" s="84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ht="15.75" customHeight="1">
      <c r="A976" s="83"/>
      <c r="B976" s="84"/>
      <c r="C976" s="84"/>
      <c r="D976" s="84"/>
      <c r="E976" s="84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ht="15.75" customHeight="1">
      <c r="A977" s="83"/>
      <c r="B977" s="84"/>
      <c r="C977" s="84"/>
      <c r="D977" s="84"/>
      <c r="E977" s="84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ht="15.75" customHeight="1">
      <c r="A978" s="83"/>
      <c r="B978" s="84"/>
      <c r="C978" s="84"/>
      <c r="D978" s="84"/>
      <c r="E978" s="84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ht="15.75" customHeight="1">
      <c r="A979" s="83"/>
      <c r="B979" s="84"/>
      <c r="C979" s="84"/>
      <c r="D979" s="84"/>
      <c r="E979" s="84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ht="15.75" customHeight="1">
      <c r="A980" s="83"/>
      <c r="B980" s="84"/>
      <c r="C980" s="84"/>
      <c r="D980" s="84"/>
      <c r="E980" s="84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ht="15.75" customHeight="1">
      <c r="A981" s="83"/>
      <c r="B981" s="84"/>
      <c r="C981" s="84"/>
      <c r="D981" s="84"/>
      <c r="E981" s="84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ht="15.75" customHeight="1">
      <c r="A982" s="83"/>
      <c r="B982" s="84"/>
      <c r="C982" s="84"/>
      <c r="D982" s="84"/>
      <c r="E982" s="84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ht="15.75" customHeight="1">
      <c r="A983" s="83"/>
      <c r="B983" s="84"/>
      <c r="C983" s="84"/>
      <c r="D983" s="84"/>
      <c r="E983" s="84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ht="15.75" customHeight="1">
      <c r="A984" s="83"/>
      <c r="B984" s="84"/>
      <c r="C984" s="84"/>
      <c r="D984" s="84"/>
      <c r="E984" s="84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ht="15.75" customHeight="1">
      <c r="A985" s="83"/>
      <c r="B985" s="84"/>
      <c r="C985" s="84"/>
      <c r="D985" s="84"/>
      <c r="E985" s="84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ht="15.75" customHeight="1">
      <c r="A986" s="83"/>
      <c r="B986" s="84"/>
      <c r="C986" s="84"/>
      <c r="D986" s="84"/>
      <c r="E986" s="84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ht="15.75" customHeight="1">
      <c r="A987" s="83"/>
      <c r="B987" s="84"/>
      <c r="C987" s="84"/>
      <c r="D987" s="84"/>
      <c r="E987" s="84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ht="15.75" customHeight="1">
      <c r="A988" s="83"/>
      <c r="B988" s="84"/>
      <c r="C988" s="84"/>
      <c r="D988" s="84"/>
      <c r="E988" s="84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ht="15.75" customHeight="1">
      <c r="A989" s="83"/>
      <c r="B989" s="84"/>
      <c r="C989" s="84"/>
      <c r="D989" s="84"/>
      <c r="E989" s="84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ht="15.75" customHeight="1">
      <c r="A990" s="83"/>
      <c r="B990" s="84"/>
      <c r="C990" s="84"/>
      <c r="D990" s="84"/>
      <c r="E990" s="84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ht="15.75" customHeight="1">
      <c r="A991" s="83"/>
      <c r="B991" s="84"/>
      <c r="C991" s="84"/>
      <c r="D991" s="84"/>
      <c r="E991" s="84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ht="15.75" customHeight="1">
      <c r="A992" s="83"/>
      <c r="B992" s="84"/>
      <c r="C992" s="84"/>
      <c r="D992" s="84"/>
      <c r="E992" s="84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ht="15.75" customHeight="1">
      <c r="A993" s="83"/>
      <c r="B993" s="84"/>
      <c r="C993" s="84"/>
      <c r="D993" s="84"/>
      <c r="E993" s="84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ht="15.75" customHeight="1">
      <c r="A994" s="83"/>
      <c r="B994" s="84"/>
      <c r="C994" s="84"/>
      <c r="D994" s="84"/>
      <c r="E994" s="84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ht="15.75" customHeight="1">
      <c r="A995" s="83"/>
      <c r="B995" s="84"/>
      <c r="C995" s="84"/>
      <c r="D995" s="84"/>
      <c r="E995" s="84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ht="15.75" customHeight="1">
      <c r="A996" s="83"/>
      <c r="B996" s="84"/>
      <c r="C996" s="84"/>
      <c r="D996" s="84"/>
      <c r="E996" s="84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ht="15.75" customHeight="1">
      <c r="A997" s="83"/>
      <c r="B997" s="84"/>
      <c r="C997" s="84"/>
      <c r="D997" s="84"/>
      <c r="E997" s="84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ht="15.75" customHeight="1">
      <c r="A998" s="83"/>
      <c r="B998" s="84"/>
      <c r="C998" s="84"/>
      <c r="D998" s="84"/>
      <c r="E998" s="84"/>
      <c r="F998" s="83"/>
      <c r="G998" s="83"/>
      <c r="H998" s="83"/>
      <c r="I998" s="83"/>
      <c r="J998" s="83"/>
      <c r="K998" s="83"/>
      <c r="L998" s="83"/>
      <c r="M998" s="83"/>
      <c r="N998" s="83"/>
      <c r="O998" s="83"/>
      <c r="P998" s="83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</sheetData>
  <mergeCells count="48">
    <mergeCell ref="G88:G91"/>
    <mergeCell ref="G93:G102"/>
    <mergeCell ref="I93:I102"/>
    <mergeCell ref="B93:B102"/>
    <mergeCell ref="C93:C102"/>
    <mergeCell ref="A103:I103"/>
    <mergeCell ref="A105:I105"/>
    <mergeCell ref="A115:I115"/>
    <mergeCell ref="A120:E120"/>
    <mergeCell ref="A122:B122"/>
    <mergeCell ref="E28:E29"/>
    <mergeCell ref="G28:G29"/>
    <mergeCell ref="I28:I29"/>
    <mergeCell ref="A30:I30"/>
    <mergeCell ref="A54:I54"/>
    <mergeCell ref="A87:I87"/>
    <mergeCell ref="A1:E1"/>
    <mergeCell ref="K1:P1"/>
    <mergeCell ref="A3:I3"/>
    <mergeCell ref="A10:I10"/>
    <mergeCell ref="C11:C26"/>
    <mergeCell ref="E11:E26"/>
    <mergeCell ref="A27:I27"/>
    <mergeCell ref="E31:E53"/>
    <mergeCell ref="E55:E86"/>
    <mergeCell ref="E88:E91"/>
    <mergeCell ref="E93:E102"/>
    <mergeCell ref="B88:B91"/>
    <mergeCell ref="C88:C91"/>
    <mergeCell ref="A92:I92"/>
    <mergeCell ref="B11:B26"/>
    <mergeCell ref="B28:B29"/>
    <mergeCell ref="C28:C29"/>
    <mergeCell ref="B31:B53"/>
    <mergeCell ref="C31:C53"/>
    <mergeCell ref="B55:B86"/>
    <mergeCell ref="C55:C86"/>
    <mergeCell ref="G11:G26"/>
    <mergeCell ref="I11:I26"/>
    <mergeCell ref="G31:G53"/>
    <mergeCell ref="I31:I53"/>
    <mergeCell ref="G55:G86"/>
    <mergeCell ref="I55:I86"/>
    <mergeCell ref="I88:I91"/>
    <mergeCell ref="A123:D123"/>
    <mergeCell ref="A126:D126"/>
    <mergeCell ref="A129:D129"/>
    <mergeCell ref="A132:D132"/>
  </mergeCells>
  <conditionalFormatting sqref="P4:P9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G4:G9 G11 G28 G31 G55 G88 G93 G104 G106:G114 G116:G119">
      <formula1>"Pago,Pendente"</formula1>
    </dataValidation>
    <dataValidation type="list" allowBlank="1" showErrorMessage="1" sqref="P4:P9">
      <formula1>"Recebido,Pendente"</formula1>
    </dataValidation>
  </dataValidations>
  <hyperlinks>
    <hyperlink r:id="rId1" ref="A13"/>
  </hyperlinks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2.38"/>
    <col customWidth="1" min="2" max="2" width="19.38"/>
    <col customWidth="1" min="3" max="3" width="18.5"/>
    <col customWidth="1" min="4" max="4" width="14.88"/>
    <col customWidth="1" min="5" max="5" width="15.38"/>
    <col customWidth="1" min="6" max="8" width="19.25"/>
    <col customWidth="1" min="9" max="9" width="21.25"/>
    <col customWidth="1" min="10" max="10" width="16.0"/>
    <col customWidth="1" min="11" max="11" width="9.13"/>
    <col customWidth="1" min="12" max="12" width="28.0"/>
    <col customWidth="1" min="13" max="15" width="14.0"/>
    <col customWidth="1" min="16" max="16" width="18.0"/>
    <col customWidth="1" min="17" max="17" width="17.63"/>
  </cols>
  <sheetData>
    <row r="1" ht="15.75" customHeight="1">
      <c r="A1" s="86" t="s">
        <v>187</v>
      </c>
      <c r="B1" s="2"/>
      <c r="C1" s="2"/>
      <c r="D1" s="2"/>
      <c r="E1" s="3"/>
      <c r="F1" s="87" t="s">
        <v>1</v>
      </c>
      <c r="G1" s="88">
        <f>3227.4+M8</f>
        <v>4027.4</v>
      </c>
      <c r="H1" s="89"/>
      <c r="I1" s="89"/>
      <c r="J1" s="89"/>
      <c r="K1" s="89"/>
      <c r="L1" s="90" t="s">
        <v>2</v>
      </c>
      <c r="M1" s="2"/>
      <c r="N1" s="2"/>
      <c r="O1" s="2"/>
      <c r="P1" s="2"/>
      <c r="Q1" s="10"/>
      <c r="R1" s="91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</row>
    <row r="2" ht="59.25" customHeight="1">
      <c r="A2" s="93" t="s">
        <v>188</v>
      </c>
      <c r="B2" s="19"/>
      <c r="C2" s="19"/>
      <c r="D2" s="19"/>
      <c r="E2" s="19"/>
      <c r="F2" s="19"/>
      <c r="G2" s="19"/>
      <c r="H2" s="89"/>
      <c r="I2" s="89"/>
      <c r="J2" s="89"/>
      <c r="K2" s="89"/>
      <c r="L2" s="94"/>
      <c r="M2" s="95"/>
      <c r="N2" s="95"/>
      <c r="O2" s="95"/>
      <c r="P2" s="95"/>
      <c r="Q2" s="96"/>
      <c r="R2" s="91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 ht="15.75" customHeight="1">
      <c r="A3" s="97" t="s">
        <v>3</v>
      </c>
      <c r="B3" s="98" t="s">
        <v>4</v>
      </c>
      <c r="C3" s="98" t="s">
        <v>5</v>
      </c>
      <c r="D3" s="98" t="s">
        <v>7</v>
      </c>
      <c r="E3" s="98" t="s">
        <v>8</v>
      </c>
      <c r="F3" s="98" t="s">
        <v>9</v>
      </c>
      <c r="G3" s="98" t="s">
        <v>10</v>
      </c>
      <c r="H3" s="89"/>
      <c r="I3" s="89"/>
      <c r="J3" s="89"/>
      <c r="K3" s="89"/>
      <c r="L3" s="99"/>
      <c r="M3" s="100"/>
      <c r="N3" s="100"/>
      <c r="O3" s="100"/>
      <c r="P3" s="101"/>
      <c r="Q3" s="102"/>
      <c r="R3" s="91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</row>
    <row r="4" ht="15.75" customHeight="1">
      <c r="A4" s="103" t="s">
        <v>19</v>
      </c>
      <c r="B4" s="104" t="s">
        <v>20</v>
      </c>
      <c r="C4" s="104" t="s">
        <v>21</v>
      </c>
      <c r="D4" s="104" t="s">
        <v>22</v>
      </c>
      <c r="E4" s="105">
        <v>0.0</v>
      </c>
      <c r="F4" s="106" t="s">
        <v>23</v>
      </c>
      <c r="G4" s="105" t="s">
        <v>22</v>
      </c>
      <c r="H4" s="89"/>
      <c r="I4" s="89"/>
      <c r="J4" s="89"/>
      <c r="K4" s="89"/>
      <c r="L4" s="99" t="s">
        <v>24</v>
      </c>
      <c r="M4" s="100">
        <v>2540.0</v>
      </c>
      <c r="N4" s="100">
        <v>580.0</v>
      </c>
      <c r="O4" s="100">
        <v>264.0</v>
      </c>
      <c r="P4" s="101">
        <v>5.0</v>
      </c>
      <c r="Q4" s="102" t="s">
        <v>25</v>
      </c>
      <c r="R4" s="91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</row>
    <row r="5" ht="15.75" customHeight="1">
      <c r="A5" s="103" t="s">
        <v>26</v>
      </c>
      <c r="B5" s="104" t="s">
        <v>27</v>
      </c>
      <c r="C5" s="104" t="s">
        <v>28</v>
      </c>
      <c r="D5" s="104">
        <v>7.0</v>
      </c>
      <c r="E5" s="107">
        <v>1371.16</v>
      </c>
      <c r="F5" s="106" t="s">
        <v>23</v>
      </c>
      <c r="G5" s="105" t="s">
        <v>22</v>
      </c>
      <c r="H5" s="89"/>
      <c r="I5" s="89"/>
      <c r="J5" s="89"/>
      <c r="K5" s="89"/>
      <c r="L5" s="99" t="s">
        <v>29</v>
      </c>
      <c r="M5" s="100">
        <v>2000.0</v>
      </c>
      <c r="N5" s="108" t="s">
        <v>22</v>
      </c>
      <c r="O5" s="108" t="s">
        <v>22</v>
      </c>
      <c r="P5" s="101">
        <v>10.0</v>
      </c>
      <c r="Q5" s="102" t="s">
        <v>25</v>
      </c>
      <c r="R5" s="91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2"/>
    </row>
    <row r="6" ht="15.75" customHeight="1">
      <c r="A6" s="103" t="s">
        <v>30</v>
      </c>
      <c r="B6" s="104" t="s">
        <v>31</v>
      </c>
      <c r="C6" s="104" t="s">
        <v>28</v>
      </c>
      <c r="D6" s="104">
        <v>7.0</v>
      </c>
      <c r="E6" s="105">
        <v>488.71</v>
      </c>
      <c r="F6" s="106" t="s">
        <v>23</v>
      </c>
      <c r="G6" s="105" t="s">
        <v>22</v>
      </c>
      <c r="H6" s="89"/>
      <c r="I6" s="89"/>
      <c r="J6" s="89"/>
      <c r="K6" s="89"/>
      <c r="L6" s="99" t="s">
        <v>32</v>
      </c>
      <c r="M6" s="100">
        <v>400.0</v>
      </c>
      <c r="N6" s="108" t="s">
        <v>22</v>
      </c>
      <c r="O6" s="108" t="s">
        <v>22</v>
      </c>
      <c r="P6" s="101">
        <v>10.0</v>
      </c>
      <c r="Q6" s="102" t="s">
        <v>25</v>
      </c>
      <c r="R6" s="91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  <c r="AD6" s="92"/>
      <c r="AE6" s="92"/>
    </row>
    <row r="7" ht="15.75" customHeight="1">
      <c r="A7" s="103" t="s">
        <v>33</v>
      </c>
      <c r="B7" s="104" t="s">
        <v>34</v>
      </c>
      <c r="C7" s="104" t="s">
        <v>35</v>
      </c>
      <c r="D7" s="104">
        <v>20.0</v>
      </c>
      <c r="E7" s="107">
        <v>127.99</v>
      </c>
      <c r="F7" s="106" t="s">
        <v>154</v>
      </c>
      <c r="G7" s="107">
        <f>G1-E7</f>
        <v>3899.41</v>
      </c>
      <c r="H7" s="89"/>
      <c r="I7" s="89"/>
      <c r="J7" s="89"/>
      <c r="K7" s="89"/>
      <c r="L7" s="99" t="s">
        <v>39</v>
      </c>
      <c r="M7" s="100">
        <v>500.0</v>
      </c>
      <c r="N7" s="108" t="s">
        <v>22</v>
      </c>
      <c r="O7" s="108" t="s">
        <v>22</v>
      </c>
      <c r="P7" s="101">
        <v>10.0</v>
      </c>
      <c r="Q7" s="102" t="s">
        <v>25</v>
      </c>
      <c r="R7" s="91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  <c r="AD7" s="92"/>
      <c r="AE7" s="92"/>
    </row>
    <row r="8" ht="15.75" customHeight="1">
      <c r="A8" s="103" t="s">
        <v>40</v>
      </c>
      <c r="B8" s="104" t="s">
        <v>41</v>
      </c>
      <c r="C8" s="104" t="s">
        <v>35</v>
      </c>
      <c r="D8" s="104">
        <v>17.0</v>
      </c>
      <c r="E8" s="107">
        <v>99.99</v>
      </c>
      <c r="F8" s="106" t="s">
        <v>154</v>
      </c>
      <c r="G8" s="107">
        <f>G7-E8</f>
        <v>3799.42</v>
      </c>
      <c r="H8" s="89"/>
      <c r="I8" s="89"/>
      <c r="J8" s="89"/>
      <c r="K8" s="89"/>
      <c r="L8" s="99" t="s">
        <v>42</v>
      </c>
      <c r="M8" s="109">
        <v>800.0</v>
      </c>
      <c r="N8" s="108" t="s">
        <v>22</v>
      </c>
      <c r="O8" s="108" t="s">
        <v>22</v>
      </c>
      <c r="P8" s="101">
        <v>15.0</v>
      </c>
      <c r="Q8" s="102" t="s">
        <v>154</v>
      </c>
      <c r="R8" s="91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</row>
    <row r="9" ht="15.75" customHeight="1">
      <c r="A9" s="103" t="s">
        <v>139</v>
      </c>
      <c r="B9" s="104" t="s">
        <v>140</v>
      </c>
      <c r="C9" s="104" t="s">
        <v>35</v>
      </c>
      <c r="D9" s="110" t="s">
        <v>74</v>
      </c>
      <c r="E9" s="107">
        <v>856.34</v>
      </c>
      <c r="F9" s="106" t="s">
        <v>23</v>
      </c>
      <c r="G9" s="105" t="s">
        <v>22</v>
      </c>
      <c r="H9" s="89"/>
      <c r="I9" s="89"/>
      <c r="J9" s="89"/>
      <c r="K9" s="89"/>
      <c r="L9" s="111"/>
      <c r="M9" s="112"/>
      <c r="N9" s="112"/>
      <c r="O9" s="112"/>
      <c r="P9" s="113"/>
      <c r="Q9" s="96"/>
      <c r="R9" s="91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  <c r="AD9" s="92"/>
      <c r="AE9" s="92"/>
    </row>
    <row r="10" ht="15.75" customHeight="1">
      <c r="A10" s="114" t="s">
        <v>141</v>
      </c>
      <c r="B10" s="110" t="s">
        <v>22</v>
      </c>
      <c r="C10" s="115"/>
      <c r="D10" s="110" t="s">
        <v>74</v>
      </c>
      <c r="E10" s="105">
        <v>90.0</v>
      </c>
      <c r="F10" s="106" t="s">
        <v>23</v>
      </c>
      <c r="G10" s="105" t="s">
        <v>22</v>
      </c>
      <c r="H10" s="89"/>
      <c r="I10" s="89"/>
      <c r="J10" s="89"/>
      <c r="K10" s="89"/>
      <c r="L10" s="111"/>
      <c r="M10" s="112"/>
      <c r="N10" s="112"/>
      <c r="O10" s="112"/>
      <c r="P10" s="113"/>
      <c r="Q10" s="96"/>
      <c r="R10" s="91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  <c r="AD10" s="92"/>
      <c r="AE10" s="92"/>
    </row>
    <row r="11" ht="15.75" customHeight="1">
      <c r="A11" s="114" t="s">
        <v>152</v>
      </c>
      <c r="B11" s="110" t="s">
        <v>22</v>
      </c>
      <c r="C11" s="104" t="s">
        <v>148</v>
      </c>
      <c r="D11" s="110" t="s">
        <v>74</v>
      </c>
      <c r="E11" s="116">
        <v>150.0</v>
      </c>
      <c r="F11" s="106" t="s">
        <v>23</v>
      </c>
      <c r="G11" s="105" t="s">
        <v>22</v>
      </c>
      <c r="H11" s="89"/>
      <c r="I11" s="89"/>
      <c r="J11" s="89"/>
      <c r="K11" s="89"/>
      <c r="L11" s="111"/>
      <c r="M11" s="112"/>
      <c r="N11" s="112"/>
      <c r="O11" s="112"/>
      <c r="P11" s="113"/>
      <c r="Q11" s="96"/>
      <c r="R11" s="91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  <c r="AD11" s="92"/>
      <c r="AE11" s="92"/>
    </row>
    <row r="12" ht="15.75" customHeight="1">
      <c r="A12" s="103" t="s">
        <v>142</v>
      </c>
      <c r="B12" s="104" t="s">
        <v>143</v>
      </c>
      <c r="C12" s="115" t="s">
        <v>144</v>
      </c>
      <c r="D12" s="110" t="s">
        <v>145</v>
      </c>
      <c r="E12" s="107">
        <v>40.9</v>
      </c>
      <c r="F12" s="106" t="s">
        <v>23</v>
      </c>
      <c r="G12" s="105" t="s">
        <v>22</v>
      </c>
      <c r="H12" s="89"/>
      <c r="I12" s="89"/>
      <c r="J12" s="89"/>
      <c r="K12" s="89"/>
      <c r="L12" s="111"/>
      <c r="M12" s="112"/>
      <c r="N12" s="112"/>
      <c r="O12" s="112"/>
      <c r="P12" s="113"/>
      <c r="Q12" s="96"/>
      <c r="R12" s="91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/>
    </row>
    <row r="13" ht="15.75" customHeight="1">
      <c r="A13" s="103" t="s">
        <v>146</v>
      </c>
      <c r="B13" s="104" t="s">
        <v>147</v>
      </c>
      <c r="C13" s="104" t="s">
        <v>148</v>
      </c>
      <c r="D13" s="106" t="s">
        <v>74</v>
      </c>
      <c r="E13" s="107">
        <v>100.0</v>
      </c>
      <c r="F13" s="106" t="s">
        <v>23</v>
      </c>
      <c r="G13" s="105" t="s">
        <v>22</v>
      </c>
      <c r="H13" s="89"/>
      <c r="I13" s="89"/>
      <c r="J13" s="89"/>
      <c r="K13" s="89"/>
      <c r="L13" s="111"/>
      <c r="M13" s="112"/>
      <c r="N13" s="112"/>
      <c r="O13" s="112"/>
      <c r="P13" s="113"/>
      <c r="Q13" s="96"/>
      <c r="R13" s="91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/>
    </row>
    <row r="14" ht="15.75" customHeight="1">
      <c r="A14" s="103" t="s">
        <v>189</v>
      </c>
      <c r="B14" s="104" t="s">
        <v>109</v>
      </c>
      <c r="C14" s="104" t="s">
        <v>148</v>
      </c>
      <c r="D14" s="110" t="s">
        <v>190</v>
      </c>
      <c r="E14" s="117">
        <f>14*19</f>
        <v>266</v>
      </c>
      <c r="F14" s="106" t="s">
        <v>23</v>
      </c>
      <c r="G14" s="105" t="s">
        <v>22</v>
      </c>
      <c r="H14" s="89"/>
      <c r="I14" s="89"/>
      <c r="J14" s="89"/>
      <c r="K14" s="89"/>
      <c r="L14" s="111"/>
      <c r="M14" s="112"/>
      <c r="N14" s="112"/>
      <c r="O14" s="112"/>
      <c r="P14" s="113"/>
      <c r="Q14" s="96"/>
      <c r="R14" s="91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</row>
    <row r="15" ht="15.75" customHeight="1">
      <c r="A15" s="103" t="s">
        <v>150</v>
      </c>
      <c r="B15" s="104" t="s">
        <v>151</v>
      </c>
      <c r="C15" s="104" t="s">
        <v>148</v>
      </c>
      <c r="D15" s="110" t="s">
        <v>22</v>
      </c>
      <c r="E15" s="116">
        <v>0.0</v>
      </c>
      <c r="F15" s="106" t="s">
        <v>154</v>
      </c>
      <c r="G15" s="107">
        <f>G8-E15</f>
        <v>3799.42</v>
      </c>
      <c r="H15" s="89"/>
      <c r="I15" s="89"/>
      <c r="J15" s="89"/>
      <c r="K15" s="89"/>
      <c r="L15" s="111"/>
      <c r="M15" s="112"/>
      <c r="N15" s="112"/>
      <c r="O15" s="112"/>
      <c r="P15" s="113"/>
      <c r="Q15" s="96"/>
      <c r="R15" s="91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</row>
    <row r="16">
      <c r="A16" s="89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111"/>
      <c r="M16" s="112"/>
      <c r="N16" s="112"/>
      <c r="O16" s="112"/>
      <c r="P16" s="113"/>
      <c r="Q16" s="96"/>
      <c r="R16" s="91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2"/>
      <c r="AE16" s="92"/>
    </row>
    <row r="17">
      <c r="A17" s="89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111"/>
      <c r="M17" s="112"/>
      <c r="N17" s="112"/>
      <c r="O17" s="112"/>
      <c r="P17" s="113"/>
      <c r="Q17" s="96"/>
      <c r="R17" s="91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  <c r="AD17" s="92"/>
      <c r="AE17" s="92"/>
    </row>
    <row r="18" ht="57.0" customHeight="1">
      <c r="A18" s="118" t="s">
        <v>191</v>
      </c>
      <c r="B18" s="19"/>
      <c r="C18" s="19"/>
      <c r="D18" s="19"/>
      <c r="E18" s="19"/>
      <c r="F18" s="19"/>
      <c r="G18" s="19"/>
      <c r="H18" s="19"/>
      <c r="I18" s="19"/>
      <c r="J18" s="20"/>
      <c r="K18" s="89"/>
      <c r="L18" s="111"/>
      <c r="M18" s="112"/>
      <c r="N18" s="112"/>
      <c r="O18" s="112"/>
      <c r="P18" s="113"/>
      <c r="Q18" s="96"/>
      <c r="R18" s="91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  <c r="AD18" s="92"/>
      <c r="AE18" s="92"/>
    </row>
    <row r="19" ht="21.0" customHeight="1">
      <c r="A19" s="97" t="s">
        <v>3</v>
      </c>
      <c r="B19" s="98" t="s">
        <v>4</v>
      </c>
      <c r="C19" s="119" t="s">
        <v>22</v>
      </c>
      <c r="D19" s="98" t="s">
        <v>6</v>
      </c>
      <c r="E19" s="98" t="s">
        <v>7</v>
      </c>
      <c r="F19" s="98" t="s">
        <v>8</v>
      </c>
      <c r="G19" s="98" t="s">
        <v>9</v>
      </c>
      <c r="H19" s="98" t="s">
        <v>10</v>
      </c>
      <c r="I19" s="120" t="s">
        <v>192</v>
      </c>
      <c r="J19" s="121" t="s">
        <v>11</v>
      </c>
      <c r="K19" s="89"/>
      <c r="L19" s="91"/>
      <c r="M19" s="92"/>
      <c r="N19" s="92"/>
      <c r="O19" s="92"/>
      <c r="P19" s="92"/>
      <c r="Q19" s="122"/>
      <c r="R19" s="91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  <c r="AD19" s="92"/>
      <c r="AE19" s="92"/>
    </row>
    <row r="20" ht="28.5" customHeight="1">
      <c r="A20" s="123" t="s">
        <v>43</v>
      </c>
      <c r="B20" s="19"/>
      <c r="C20" s="19"/>
      <c r="D20" s="19"/>
      <c r="E20" s="19"/>
      <c r="F20" s="19"/>
      <c r="G20" s="19"/>
      <c r="H20" s="19"/>
      <c r="I20" s="19"/>
      <c r="J20" s="20"/>
      <c r="K20" s="89"/>
      <c r="L20" s="91"/>
      <c r="M20" s="92"/>
      <c r="N20" s="92"/>
      <c r="O20" s="92"/>
      <c r="P20" s="92"/>
      <c r="Q20" s="122"/>
      <c r="R20" s="91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  <c r="AD20" s="92"/>
      <c r="AE20" s="92"/>
    </row>
    <row r="21" ht="21.0" customHeight="1">
      <c r="A21" s="124" t="s">
        <v>193</v>
      </c>
      <c r="B21" s="125" t="s">
        <v>194</v>
      </c>
      <c r="C21" s="125" t="s">
        <v>195</v>
      </c>
      <c r="D21" s="110" t="s">
        <v>22</v>
      </c>
      <c r="E21" s="125"/>
      <c r="F21" s="107">
        <f>1037.52-F22-F23-F24-F25-F26-F27-F28-F29-F30-F31</f>
        <v>39.71</v>
      </c>
      <c r="G21" s="126" t="s">
        <v>23</v>
      </c>
      <c r="H21" s="105" t="s">
        <v>22</v>
      </c>
      <c r="I21" s="127"/>
      <c r="J21" s="128">
        <f>SUM(F21:F31)</f>
        <v>1037.52</v>
      </c>
      <c r="K21" s="89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  <c r="AD21" s="92"/>
      <c r="AE21" s="92"/>
    </row>
    <row r="22" ht="15.75" customHeight="1">
      <c r="A22" s="129" t="s">
        <v>52</v>
      </c>
      <c r="B22" s="45"/>
      <c r="C22" s="45"/>
      <c r="D22" s="110" t="s">
        <v>73</v>
      </c>
      <c r="E22" s="45"/>
      <c r="F22" s="107">
        <v>286.81</v>
      </c>
      <c r="G22" s="45"/>
      <c r="H22" s="105" t="s">
        <v>22</v>
      </c>
      <c r="I22" s="127">
        <f>F22*10</f>
        <v>2868.1</v>
      </c>
      <c r="J22" s="45"/>
      <c r="K22" s="89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  <c r="AD22" s="92"/>
      <c r="AE22" s="92"/>
    </row>
    <row r="23" ht="15.75" customHeight="1">
      <c r="A23" s="129" t="s">
        <v>54</v>
      </c>
      <c r="B23" s="45"/>
      <c r="C23" s="45"/>
      <c r="D23" s="110" t="s">
        <v>196</v>
      </c>
      <c r="E23" s="45"/>
      <c r="F23" s="107">
        <v>7.87</v>
      </c>
      <c r="G23" s="45"/>
      <c r="H23" s="105" t="s">
        <v>22</v>
      </c>
      <c r="I23" s="127">
        <f t="shared" ref="I23:I27" si="1">F23*0</f>
        <v>0</v>
      </c>
      <c r="J23" s="45"/>
      <c r="K23" s="91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  <c r="AD23" s="92"/>
      <c r="AE23" s="92"/>
    </row>
    <row r="24" ht="15.75" customHeight="1">
      <c r="A24" s="129" t="s">
        <v>56</v>
      </c>
      <c r="B24" s="45"/>
      <c r="C24" s="45"/>
      <c r="D24" s="110" t="s">
        <v>196</v>
      </c>
      <c r="E24" s="45"/>
      <c r="F24" s="107">
        <v>36.0</v>
      </c>
      <c r="G24" s="45"/>
      <c r="H24" s="105" t="s">
        <v>22</v>
      </c>
      <c r="I24" s="127">
        <f t="shared" si="1"/>
        <v>0</v>
      </c>
      <c r="J24" s="45"/>
      <c r="K24" s="91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</row>
    <row r="25" ht="15.75" customHeight="1">
      <c r="A25" s="129" t="s">
        <v>57</v>
      </c>
      <c r="B25" s="45"/>
      <c r="C25" s="45"/>
      <c r="D25" s="110" t="s">
        <v>196</v>
      </c>
      <c r="E25" s="45"/>
      <c r="F25" s="107">
        <v>49.5</v>
      </c>
      <c r="G25" s="45"/>
      <c r="H25" s="105" t="s">
        <v>22</v>
      </c>
      <c r="I25" s="127">
        <f t="shared" si="1"/>
        <v>0</v>
      </c>
      <c r="J25" s="45"/>
      <c r="K25" s="91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ht="15.75" customHeight="1">
      <c r="A26" s="129" t="s">
        <v>56</v>
      </c>
      <c r="B26" s="45"/>
      <c r="C26" s="45"/>
      <c r="D26" s="110" t="s">
        <v>196</v>
      </c>
      <c r="E26" s="45"/>
      <c r="F26" s="107">
        <v>36.0</v>
      </c>
      <c r="G26" s="45"/>
      <c r="H26" s="105" t="s">
        <v>22</v>
      </c>
      <c r="I26" s="127">
        <f t="shared" si="1"/>
        <v>0</v>
      </c>
      <c r="J26" s="45"/>
      <c r="K26" s="91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</row>
    <row r="27" ht="15.75" customHeight="1">
      <c r="A27" s="129" t="s">
        <v>58</v>
      </c>
      <c r="B27" s="45"/>
      <c r="C27" s="45"/>
      <c r="D27" s="110" t="s">
        <v>196</v>
      </c>
      <c r="E27" s="45"/>
      <c r="F27" s="107">
        <v>55.72</v>
      </c>
      <c r="G27" s="45"/>
      <c r="H27" s="105" t="s">
        <v>22</v>
      </c>
      <c r="I27" s="127">
        <f t="shared" si="1"/>
        <v>0</v>
      </c>
      <c r="J27" s="45"/>
      <c r="K27" s="91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</row>
    <row r="28" ht="15.75" customHeight="1">
      <c r="A28" s="129" t="s">
        <v>59</v>
      </c>
      <c r="B28" s="45"/>
      <c r="C28" s="45"/>
      <c r="D28" s="110" t="s">
        <v>197</v>
      </c>
      <c r="E28" s="45"/>
      <c r="F28" s="107">
        <v>375.0</v>
      </c>
      <c r="G28" s="45"/>
      <c r="H28" s="105" t="s">
        <v>22</v>
      </c>
      <c r="I28" s="127">
        <f>F28*2</f>
        <v>750</v>
      </c>
      <c r="J28" s="45"/>
      <c r="K28" s="91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  <c r="AE28" s="92"/>
    </row>
    <row r="29">
      <c r="A29" s="129" t="s">
        <v>63</v>
      </c>
      <c r="B29" s="45"/>
      <c r="C29" s="45"/>
      <c r="D29" s="110" t="s">
        <v>198</v>
      </c>
      <c r="E29" s="45"/>
      <c r="F29" s="107">
        <v>59.02</v>
      </c>
      <c r="G29" s="45"/>
      <c r="H29" s="105" t="s">
        <v>22</v>
      </c>
      <c r="I29" s="127">
        <f>F29*4</f>
        <v>236.08</v>
      </c>
      <c r="J29" s="45"/>
      <c r="K29" s="91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</row>
    <row r="30" ht="15.75" customHeight="1">
      <c r="A30" s="129" t="s">
        <v>65</v>
      </c>
      <c r="B30" s="45"/>
      <c r="C30" s="45"/>
      <c r="D30" s="110" t="s">
        <v>64</v>
      </c>
      <c r="E30" s="45"/>
      <c r="F30" s="107">
        <v>40.75</v>
      </c>
      <c r="G30" s="45"/>
      <c r="H30" s="105" t="s">
        <v>22</v>
      </c>
      <c r="I30" s="127">
        <f>F30*5</f>
        <v>203.75</v>
      </c>
      <c r="J30" s="45"/>
      <c r="K30" s="91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  <c r="AD30" s="92"/>
      <c r="AE30" s="92"/>
    </row>
    <row r="31" ht="15.75" customHeight="1">
      <c r="A31" s="129" t="s">
        <v>67</v>
      </c>
      <c r="B31" s="52"/>
      <c r="C31" s="52"/>
      <c r="D31" s="110" t="s">
        <v>199</v>
      </c>
      <c r="E31" s="52"/>
      <c r="F31" s="107">
        <v>51.14</v>
      </c>
      <c r="G31" s="52"/>
      <c r="H31" s="105" t="s">
        <v>22</v>
      </c>
      <c r="I31" s="127">
        <f>F31*2</f>
        <v>102.28</v>
      </c>
      <c r="J31" s="52"/>
      <c r="K31" s="91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2"/>
    </row>
    <row r="32" ht="15.75" customHeight="1">
      <c r="A32" s="130" t="s">
        <v>70</v>
      </c>
      <c r="B32" s="19"/>
      <c r="C32" s="19"/>
      <c r="D32" s="19"/>
      <c r="E32" s="19"/>
      <c r="F32" s="19"/>
      <c r="G32" s="19"/>
      <c r="H32" s="19"/>
      <c r="I32" s="19"/>
      <c r="J32" s="20"/>
      <c r="K32" s="91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  <c r="AD32" s="92"/>
      <c r="AE32" s="92"/>
    </row>
    <row r="33" ht="15.75" customHeight="1">
      <c r="A33" s="124" t="s">
        <v>193</v>
      </c>
      <c r="B33" s="131" t="s">
        <v>72</v>
      </c>
      <c r="C33" s="131" t="s">
        <v>46</v>
      </c>
      <c r="D33" s="110" t="s">
        <v>200</v>
      </c>
      <c r="E33" s="125" t="s">
        <v>74</v>
      </c>
      <c r="F33" s="105">
        <v>33.33</v>
      </c>
      <c r="G33" s="126" t="s">
        <v>23</v>
      </c>
      <c r="H33" s="105" t="s">
        <v>22</v>
      </c>
      <c r="I33" s="132">
        <f t="shared" ref="I33:I34" si="2">F33*9</f>
        <v>299.97</v>
      </c>
      <c r="J33" s="133">
        <f>SUM(F33:F34)</f>
        <v>59.33</v>
      </c>
      <c r="K33" s="91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</row>
    <row r="34" ht="15.75" customHeight="1">
      <c r="A34" s="103" t="s">
        <v>75</v>
      </c>
      <c r="B34" s="52"/>
      <c r="C34" s="52"/>
      <c r="D34" s="110" t="s">
        <v>200</v>
      </c>
      <c r="E34" s="52"/>
      <c r="F34" s="107">
        <v>26.0</v>
      </c>
      <c r="G34" s="52"/>
      <c r="H34" s="105" t="s">
        <v>22</v>
      </c>
      <c r="I34" s="132">
        <f t="shared" si="2"/>
        <v>234</v>
      </c>
      <c r="J34" s="53"/>
      <c r="K34" s="91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  <c r="AD34" s="92"/>
      <c r="AE34" s="92"/>
    </row>
    <row r="35" ht="15.75" customHeight="1">
      <c r="A35" s="130" t="s">
        <v>76</v>
      </c>
      <c r="B35" s="19"/>
      <c r="C35" s="19"/>
      <c r="D35" s="19"/>
      <c r="E35" s="19"/>
      <c r="F35" s="19"/>
      <c r="G35" s="19"/>
      <c r="H35" s="19"/>
      <c r="I35" s="19"/>
      <c r="J35" s="20"/>
      <c r="K35" s="91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</row>
    <row r="36" ht="15.75" customHeight="1">
      <c r="A36" s="124" t="s">
        <v>193</v>
      </c>
      <c r="B36" s="104" t="s">
        <v>78</v>
      </c>
      <c r="C36" s="104" t="s">
        <v>46</v>
      </c>
      <c r="D36" s="104" t="s">
        <v>22</v>
      </c>
      <c r="E36" s="110" t="s">
        <v>74</v>
      </c>
      <c r="F36" s="105">
        <v>59.95</v>
      </c>
      <c r="G36" s="106" t="s">
        <v>23</v>
      </c>
      <c r="H36" s="105" t="s">
        <v>22</v>
      </c>
      <c r="I36" s="134"/>
      <c r="J36" s="135">
        <f>SUM(F36)</f>
        <v>59.95</v>
      </c>
      <c r="K36" s="91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  <c r="AD36" s="92"/>
      <c r="AE36" s="92"/>
    </row>
    <row r="37" ht="15.75" customHeight="1">
      <c r="A37" s="130" t="s">
        <v>94</v>
      </c>
      <c r="B37" s="19"/>
      <c r="C37" s="19"/>
      <c r="D37" s="19"/>
      <c r="E37" s="19"/>
      <c r="F37" s="19"/>
      <c r="G37" s="19"/>
      <c r="H37" s="19"/>
      <c r="I37" s="19"/>
      <c r="J37" s="20"/>
      <c r="K37" s="91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  <c r="AD37" s="92"/>
      <c r="AE37" s="92"/>
    </row>
    <row r="38" ht="15.75" customHeight="1">
      <c r="A38" s="124" t="s">
        <v>193</v>
      </c>
      <c r="B38" s="125" t="s">
        <v>201</v>
      </c>
      <c r="C38" s="125" t="s">
        <v>202</v>
      </c>
      <c r="D38" s="110" t="s">
        <v>22</v>
      </c>
      <c r="E38" s="125" t="s">
        <v>203</v>
      </c>
      <c r="F38" s="105">
        <f>1429.08-F39-F40-F41-F42-F43-F44-F45-F46-F47-F48-F49-F50-F51-F52</f>
        <v>54.96</v>
      </c>
      <c r="G38" s="126" t="s">
        <v>154</v>
      </c>
      <c r="H38" s="107">
        <f>G8-F38</f>
        <v>3744.46</v>
      </c>
      <c r="I38" s="136"/>
      <c r="J38" s="137">
        <f>SUM(F38:F52)</f>
        <v>1429.08</v>
      </c>
      <c r="K38" s="91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</row>
    <row r="39" ht="15.75" customHeight="1">
      <c r="A39" s="124" t="s">
        <v>204</v>
      </c>
      <c r="B39" s="45"/>
      <c r="C39" s="45"/>
      <c r="D39" s="104" t="s">
        <v>22</v>
      </c>
      <c r="E39" s="45"/>
      <c r="F39" s="105">
        <v>9.86</v>
      </c>
      <c r="G39" s="45"/>
      <c r="H39" s="107">
        <f t="shared" ref="H39:H52" si="3">H38-F39</f>
        <v>3734.6</v>
      </c>
      <c r="I39" s="136"/>
      <c r="J39" s="45"/>
      <c r="K39" s="91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</row>
    <row r="40" ht="15.75" customHeight="1">
      <c r="A40" s="124" t="s">
        <v>205</v>
      </c>
      <c r="B40" s="45"/>
      <c r="C40" s="45"/>
      <c r="D40" s="104" t="s">
        <v>22</v>
      </c>
      <c r="E40" s="45"/>
      <c r="F40" s="105">
        <v>79.34</v>
      </c>
      <c r="G40" s="45"/>
      <c r="H40" s="107">
        <f t="shared" si="3"/>
        <v>3655.26</v>
      </c>
      <c r="I40" s="136"/>
      <c r="J40" s="45"/>
      <c r="K40" s="91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</row>
    <row r="41" ht="15.75" customHeight="1">
      <c r="A41" s="124" t="s">
        <v>206</v>
      </c>
      <c r="B41" s="45"/>
      <c r="C41" s="45"/>
      <c r="D41" s="104" t="s">
        <v>22</v>
      </c>
      <c r="E41" s="45"/>
      <c r="F41" s="105">
        <v>6.9</v>
      </c>
      <c r="G41" s="45"/>
      <c r="H41" s="107">
        <f t="shared" si="3"/>
        <v>3648.36</v>
      </c>
      <c r="I41" s="136"/>
      <c r="J41" s="45"/>
      <c r="K41" s="91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</row>
    <row r="42" ht="15.75" customHeight="1">
      <c r="A42" s="124" t="s">
        <v>207</v>
      </c>
      <c r="B42" s="45"/>
      <c r="C42" s="45"/>
      <c r="D42" s="104" t="s">
        <v>22</v>
      </c>
      <c r="E42" s="45"/>
      <c r="F42" s="105">
        <v>498.0</v>
      </c>
      <c r="G42" s="45"/>
      <c r="H42" s="107">
        <f t="shared" si="3"/>
        <v>3150.36</v>
      </c>
      <c r="I42" s="136"/>
      <c r="J42" s="45"/>
      <c r="K42" s="91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</row>
    <row r="43" ht="15.75" customHeight="1">
      <c r="A43" s="129" t="s">
        <v>112</v>
      </c>
      <c r="B43" s="45"/>
      <c r="C43" s="45"/>
      <c r="D43" s="110" t="s">
        <v>73</v>
      </c>
      <c r="E43" s="45"/>
      <c r="F43" s="107">
        <v>25.98</v>
      </c>
      <c r="G43" s="45"/>
      <c r="H43" s="107">
        <f t="shared" si="3"/>
        <v>3124.38</v>
      </c>
      <c r="I43" s="136">
        <f>F43*10</f>
        <v>259.8</v>
      </c>
      <c r="J43" s="45"/>
      <c r="K43" s="91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  <c r="AE43" s="92"/>
    </row>
    <row r="44" ht="15.75" customHeight="1">
      <c r="A44" s="129" t="s">
        <v>113</v>
      </c>
      <c r="B44" s="45"/>
      <c r="C44" s="45"/>
      <c r="D44" s="110" t="s">
        <v>208</v>
      </c>
      <c r="E44" s="45"/>
      <c r="F44" s="107">
        <v>143.0</v>
      </c>
      <c r="G44" s="45"/>
      <c r="H44" s="107">
        <f t="shared" si="3"/>
        <v>2981.38</v>
      </c>
      <c r="I44" s="136">
        <f>F44*3</f>
        <v>429</v>
      </c>
      <c r="J44" s="45"/>
      <c r="K44" s="91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  <c r="AD44" s="92"/>
      <c r="AE44" s="92"/>
    </row>
    <row r="45" ht="15.75" customHeight="1">
      <c r="A45" s="129" t="s">
        <v>115</v>
      </c>
      <c r="B45" s="45"/>
      <c r="C45" s="45"/>
      <c r="D45" s="110" t="s">
        <v>73</v>
      </c>
      <c r="E45" s="45"/>
      <c r="F45" s="107">
        <v>133.37</v>
      </c>
      <c r="G45" s="45"/>
      <c r="H45" s="107">
        <f t="shared" si="3"/>
        <v>2848.01</v>
      </c>
      <c r="I45" s="136">
        <f>F45*10</f>
        <v>1333.7</v>
      </c>
      <c r="J45" s="45"/>
      <c r="K45" s="91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  <c r="AD45" s="92"/>
      <c r="AE45" s="92"/>
    </row>
    <row r="46" ht="15.75" customHeight="1">
      <c r="A46" s="129" t="s">
        <v>116</v>
      </c>
      <c r="B46" s="45"/>
      <c r="C46" s="45"/>
      <c r="D46" s="110" t="s">
        <v>64</v>
      </c>
      <c r="E46" s="45"/>
      <c r="F46" s="107">
        <v>133.33</v>
      </c>
      <c r="G46" s="45"/>
      <c r="H46" s="107">
        <f t="shared" si="3"/>
        <v>2714.68</v>
      </c>
      <c r="I46" s="136">
        <f>F46*5</f>
        <v>666.65</v>
      </c>
      <c r="J46" s="45"/>
      <c r="K46" s="91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  <c r="AD46" s="92"/>
      <c r="AE46" s="92"/>
    </row>
    <row r="47" ht="15.75" customHeight="1">
      <c r="A47" s="129" t="s">
        <v>117</v>
      </c>
      <c r="B47" s="45"/>
      <c r="C47" s="45"/>
      <c r="D47" s="110" t="s">
        <v>196</v>
      </c>
      <c r="E47" s="45"/>
      <c r="F47" s="107">
        <v>56.23</v>
      </c>
      <c r="G47" s="45"/>
      <c r="H47" s="107">
        <f t="shared" si="3"/>
        <v>2658.45</v>
      </c>
      <c r="I47" s="136">
        <f>F47*0</f>
        <v>0</v>
      </c>
      <c r="J47" s="45"/>
      <c r="K47" s="91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  <c r="AD47" s="92"/>
      <c r="AE47" s="92"/>
    </row>
    <row r="48" ht="15.75" customHeight="1">
      <c r="A48" s="129" t="s">
        <v>118</v>
      </c>
      <c r="B48" s="45"/>
      <c r="C48" s="45"/>
      <c r="D48" s="110" t="s">
        <v>209</v>
      </c>
      <c r="E48" s="45"/>
      <c r="F48" s="107">
        <v>15.52</v>
      </c>
      <c r="G48" s="45"/>
      <c r="H48" s="107">
        <f t="shared" si="3"/>
        <v>2642.93</v>
      </c>
      <c r="I48" s="136">
        <f>F48*3</f>
        <v>46.56</v>
      </c>
      <c r="J48" s="45"/>
      <c r="K48" s="91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  <c r="AD48" s="92"/>
      <c r="AE48" s="92"/>
    </row>
    <row r="49" ht="15.75" customHeight="1">
      <c r="A49" s="129" t="s">
        <v>120</v>
      </c>
      <c r="B49" s="45"/>
      <c r="C49" s="45"/>
      <c r="D49" s="110" t="s">
        <v>64</v>
      </c>
      <c r="E49" s="45"/>
      <c r="F49" s="107">
        <v>57.99</v>
      </c>
      <c r="G49" s="45"/>
      <c r="H49" s="107">
        <f t="shared" si="3"/>
        <v>2584.94</v>
      </c>
      <c r="I49" s="136">
        <f>F49*5</f>
        <v>289.95</v>
      </c>
      <c r="J49" s="45"/>
      <c r="K49" s="91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  <c r="AD49" s="92"/>
      <c r="AE49" s="92"/>
    </row>
    <row r="50" ht="15.75" customHeight="1">
      <c r="A50" s="129" t="s">
        <v>121</v>
      </c>
      <c r="B50" s="45"/>
      <c r="C50" s="45"/>
      <c r="D50" s="110" t="s">
        <v>64</v>
      </c>
      <c r="E50" s="45"/>
      <c r="F50" s="107">
        <v>16.62</v>
      </c>
      <c r="G50" s="45"/>
      <c r="H50" s="107">
        <f t="shared" si="3"/>
        <v>2568.32</v>
      </c>
      <c r="I50" s="136">
        <f>F50+5</f>
        <v>21.62</v>
      </c>
      <c r="J50" s="45"/>
      <c r="K50" s="91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  <c r="AD50" s="92"/>
      <c r="AE50" s="92"/>
    </row>
    <row r="51" ht="15.75" customHeight="1">
      <c r="A51" s="129" t="s">
        <v>122</v>
      </c>
      <c r="B51" s="45"/>
      <c r="C51" s="45"/>
      <c r="D51" s="110" t="s">
        <v>55</v>
      </c>
      <c r="E51" s="45"/>
      <c r="F51" s="107">
        <v>151.84</v>
      </c>
      <c r="G51" s="45"/>
      <c r="H51" s="105">
        <f t="shared" si="3"/>
        <v>2416.48</v>
      </c>
      <c r="I51" s="136">
        <f>F51*1</f>
        <v>151.84</v>
      </c>
      <c r="J51" s="45"/>
      <c r="K51" s="91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  <c r="AD51" s="92"/>
      <c r="AE51" s="92"/>
    </row>
    <row r="52" ht="15.75" customHeight="1">
      <c r="A52" s="129" t="s">
        <v>124</v>
      </c>
      <c r="B52" s="52"/>
      <c r="C52" s="52"/>
      <c r="D52" s="110" t="s">
        <v>210</v>
      </c>
      <c r="E52" s="52"/>
      <c r="F52" s="107">
        <v>46.14</v>
      </c>
      <c r="G52" s="52"/>
      <c r="H52" s="107">
        <f t="shared" si="3"/>
        <v>2370.34</v>
      </c>
      <c r="I52" s="136">
        <f>F52*0</f>
        <v>0</v>
      </c>
      <c r="J52" s="52"/>
      <c r="K52" s="91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  <c r="AD52" s="92"/>
      <c r="AE52" s="92"/>
    </row>
    <row r="53" ht="15.75" customHeight="1">
      <c r="A53" s="130" t="s">
        <v>126</v>
      </c>
      <c r="B53" s="19"/>
      <c r="C53" s="19"/>
      <c r="D53" s="19"/>
      <c r="E53" s="19"/>
      <c r="F53" s="19"/>
      <c r="G53" s="19"/>
      <c r="H53" s="19"/>
      <c r="I53" s="19"/>
      <c r="J53" s="20"/>
      <c r="K53" s="91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  <c r="AD53" s="92"/>
      <c r="AE53" s="92"/>
    </row>
    <row r="54" ht="15.75" customHeight="1">
      <c r="A54" s="124" t="s">
        <v>193</v>
      </c>
      <c r="B54" s="131" t="s">
        <v>128</v>
      </c>
      <c r="C54" s="131" t="s">
        <v>46</v>
      </c>
      <c r="D54" s="138" t="s">
        <v>22</v>
      </c>
      <c r="E54" s="125" t="s">
        <v>211</v>
      </c>
      <c r="F54" s="139">
        <f>423.34-F55-F56-F57-F58</f>
        <v>93.2</v>
      </c>
      <c r="G54" s="126" t="s">
        <v>154</v>
      </c>
      <c r="H54" s="139">
        <f>H52-F54</f>
        <v>2277.14</v>
      </c>
      <c r="I54" s="140">
        <f t="shared" ref="I54:I55" si="4">F54*8</f>
        <v>745.6</v>
      </c>
      <c r="J54" s="141">
        <f>SUM(F54:F58)</f>
        <v>423.34</v>
      </c>
      <c r="K54" s="91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  <c r="AD54" s="92"/>
      <c r="AE54" s="92"/>
    </row>
    <row r="55" ht="15.75" customHeight="1">
      <c r="A55" s="103" t="s">
        <v>127</v>
      </c>
      <c r="B55" s="45"/>
      <c r="C55" s="45"/>
      <c r="D55" s="110" t="s">
        <v>212</v>
      </c>
      <c r="E55" s="45"/>
      <c r="F55" s="107">
        <v>81.66</v>
      </c>
      <c r="G55" s="45"/>
      <c r="H55" s="107">
        <f t="shared" ref="H55:H58" si="5">H54-F55</f>
        <v>2195.48</v>
      </c>
      <c r="I55" s="134">
        <f t="shared" si="4"/>
        <v>653.28</v>
      </c>
      <c r="J55" s="46"/>
      <c r="K55" s="142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</row>
    <row r="56" ht="15.75" customHeight="1">
      <c r="A56" s="103" t="s">
        <v>120</v>
      </c>
      <c r="B56" s="45"/>
      <c r="C56" s="45"/>
      <c r="D56" s="110" t="s">
        <v>64</v>
      </c>
      <c r="E56" s="45"/>
      <c r="F56" s="107">
        <v>57.99</v>
      </c>
      <c r="G56" s="45"/>
      <c r="H56" s="107">
        <f t="shared" si="5"/>
        <v>2137.49</v>
      </c>
      <c r="I56" s="134">
        <f>F56*5</f>
        <v>289.95</v>
      </c>
      <c r="J56" s="46"/>
      <c r="K56" s="91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  <c r="AD56" s="92"/>
      <c r="AE56" s="92"/>
    </row>
    <row r="57" ht="15.75" customHeight="1">
      <c r="A57" s="103" t="s">
        <v>130</v>
      </c>
      <c r="B57" s="45"/>
      <c r="C57" s="45"/>
      <c r="D57" s="110" t="s">
        <v>196</v>
      </c>
      <c r="E57" s="45"/>
      <c r="F57" s="107">
        <v>45.0</v>
      </c>
      <c r="G57" s="45"/>
      <c r="H57" s="107">
        <f t="shared" si="5"/>
        <v>2092.49</v>
      </c>
      <c r="I57" s="134">
        <f>F57*0</f>
        <v>0</v>
      </c>
      <c r="J57" s="46"/>
      <c r="K57" s="91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  <c r="AD57" s="92"/>
      <c r="AE57" s="92"/>
    </row>
    <row r="58" ht="15.75" customHeight="1">
      <c r="A58" s="103" t="s">
        <v>131</v>
      </c>
      <c r="B58" s="52"/>
      <c r="C58" s="52"/>
      <c r="D58" s="110" t="s">
        <v>73</v>
      </c>
      <c r="E58" s="52"/>
      <c r="F58" s="107">
        <v>145.49</v>
      </c>
      <c r="G58" s="52"/>
      <c r="H58" s="105">
        <f t="shared" si="5"/>
        <v>1947</v>
      </c>
      <c r="I58" s="134">
        <f>F58*10</f>
        <v>1454.9</v>
      </c>
      <c r="J58" s="53"/>
      <c r="K58" s="91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  <c r="AD58" s="92"/>
      <c r="AE58" s="92"/>
    </row>
    <row r="59" ht="15.75" customHeight="1">
      <c r="A59" s="130" t="s">
        <v>132</v>
      </c>
      <c r="B59" s="19"/>
      <c r="C59" s="19"/>
      <c r="D59" s="19"/>
      <c r="E59" s="19"/>
      <c r="F59" s="19"/>
      <c r="G59" s="19"/>
      <c r="H59" s="19"/>
      <c r="I59" s="19"/>
      <c r="J59" s="20"/>
      <c r="K59" s="91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  <c r="AD59" s="92"/>
      <c r="AE59" s="92"/>
    </row>
    <row r="60" ht="15.75" customHeight="1">
      <c r="A60" s="114" t="s">
        <v>213</v>
      </c>
      <c r="B60" s="131" t="s">
        <v>133</v>
      </c>
      <c r="C60" s="131" t="s">
        <v>46</v>
      </c>
      <c r="D60" s="110" t="s">
        <v>73</v>
      </c>
      <c r="E60" s="125" t="s">
        <v>134</v>
      </c>
      <c r="F60" s="116">
        <v>68.42</v>
      </c>
      <c r="G60" s="126" t="s">
        <v>23</v>
      </c>
      <c r="H60" s="105" t="s">
        <v>22</v>
      </c>
      <c r="I60" s="134">
        <f t="shared" ref="I60:I62" si="6">F60*10</f>
        <v>684.2</v>
      </c>
      <c r="J60" s="144">
        <f>SUM(F60:F69)</f>
        <v>270.17</v>
      </c>
      <c r="K60" s="91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  <c r="AD60" s="92"/>
      <c r="AE60" s="92"/>
    </row>
    <row r="61" ht="15.75" customHeight="1">
      <c r="A61" s="114" t="s">
        <v>214</v>
      </c>
      <c r="B61" s="45"/>
      <c r="C61" s="45"/>
      <c r="D61" s="110" t="s">
        <v>73</v>
      </c>
      <c r="E61" s="45"/>
      <c r="F61" s="116">
        <v>40.68</v>
      </c>
      <c r="G61" s="45"/>
      <c r="H61" s="105" t="s">
        <v>22</v>
      </c>
      <c r="I61" s="134">
        <f t="shared" si="6"/>
        <v>406.8</v>
      </c>
      <c r="J61" s="46"/>
      <c r="K61" s="91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  <c r="AD61" s="92"/>
      <c r="AE61" s="92"/>
    </row>
    <row r="62" ht="15.75" customHeight="1">
      <c r="A62" s="114" t="s">
        <v>215</v>
      </c>
      <c r="B62" s="45"/>
      <c r="C62" s="45"/>
      <c r="D62" s="110" t="s">
        <v>73</v>
      </c>
      <c r="E62" s="45"/>
      <c r="F62" s="116">
        <v>27.12</v>
      </c>
      <c r="G62" s="45"/>
      <c r="H62" s="105" t="s">
        <v>22</v>
      </c>
      <c r="I62" s="134">
        <f t="shared" si="6"/>
        <v>271.2</v>
      </c>
      <c r="J62" s="46"/>
      <c r="K62" s="91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  <c r="AD62" s="92"/>
      <c r="AE62" s="92"/>
    </row>
    <row r="63" ht="15.75" customHeight="1">
      <c r="A63" s="114" t="s">
        <v>216</v>
      </c>
      <c r="B63" s="45"/>
      <c r="C63" s="45"/>
      <c r="D63" s="110" t="s">
        <v>217</v>
      </c>
      <c r="E63" s="45"/>
      <c r="F63" s="116">
        <v>9.1</v>
      </c>
      <c r="G63" s="45"/>
      <c r="H63" s="105" t="s">
        <v>22</v>
      </c>
      <c r="I63" s="134">
        <f>F63*1</f>
        <v>9.1</v>
      </c>
      <c r="J63" s="46"/>
      <c r="K63" s="91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  <c r="AD63" s="92"/>
      <c r="AE63" s="92"/>
    </row>
    <row r="64" ht="15.75" customHeight="1">
      <c r="A64" s="114" t="s">
        <v>218</v>
      </c>
      <c r="B64" s="45"/>
      <c r="C64" s="45"/>
      <c r="D64" s="110" t="s">
        <v>123</v>
      </c>
      <c r="E64" s="45"/>
      <c r="F64" s="116">
        <v>9.62</v>
      </c>
      <c r="G64" s="45"/>
      <c r="H64" s="105" t="s">
        <v>22</v>
      </c>
      <c r="I64" s="134">
        <f>F64*2</f>
        <v>19.24</v>
      </c>
      <c r="J64" s="46"/>
      <c r="K64" s="91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  <c r="AD64" s="92"/>
      <c r="AE64" s="92"/>
    </row>
    <row r="65" ht="15.75" customHeight="1">
      <c r="A65" s="114" t="s">
        <v>219</v>
      </c>
      <c r="B65" s="45"/>
      <c r="C65" s="45"/>
      <c r="D65" s="110" t="s">
        <v>220</v>
      </c>
      <c r="E65" s="45"/>
      <c r="F65" s="116">
        <v>7.56</v>
      </c>
      <c r="G65" s="45"/>
      <c r="H65" s="105" t="s">
        <v>22</v>
      </c>
      <c r="I65" s="134">
        <f>F65*3</f>
        <v>22.68</v>
      </c>
      <c r="J65" s="46"/>
      <c r="K65" s="91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  <c r="AD65" s="92"/>
      <c r="AE65" s="92"/>
    </row>
    <row r="66" ht="15.75" customHeight="1">
      <c r="A66" s="114" t="s">
        <v>221</v>
      </c>
      <c r="B66" s="45"/>
      <c r="C66" s="45"/>
      <c r="D66" s="110" t="s">
        <v>123</v>
      </c>
      <c r="E66" s="45"/>
      <c r="F66" s="116">
        <v>6.68</v>
      </c>
      <c r="G66" s="45"/>
      <c r="H66" s="105" t="s">
        <v>22</v>
      </c>
      <c r="I66" s="134">
        <f t="shared" ref="I66:I67" si="7">F66*2</f>
        <v>13.36</v>
      </c>
      <c r="J66" s="46"/>
      <c r="K66" s="91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  <c r="AD66" s="92"/>
      <c r="AE66" s="92"/>
    </row>
    <row r="67" ht="15.75" customHeight="1">
      <c r="A67" s="114" t="s">
        <v>222</v>
      </c>
      <c r="B67" s="45"/>
      <c r="C67" s="45"/>
      <c r="D67" s="110" t="s">
        <v>123</v>
      </c>
      <c r="E67" s="45"/>
      <c r="F67" s="116">
        <v>26.05</v>
      </c>
      <c r="G67" s="45"/>
      <c r="H67" s="105" t="s">
        <v>22</v>
      </c>
      <c r="I67" s="134">
        <f t="shared" si="7"/>
        <v>52.1</v>
      </c>
      <c r="J67" s="46"/>
      <c r="K67" s="91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  <c r="AD67" s="92"/>
      <c r="AE67" s="92"/>
    </row>
    <row r="68" ht="15.75" customHeight="1">
      <c r="A68" s="114" t="s">
        <v>223</v>
      </c>
      <c r="B68" s="45"/>
      <c r="C68" s="45"/>
      <c r="D68" s="110" t="s">
        <v>224</v>
      </c>
      <c r="E68" s="45"/>
      <c r="F68" s="116">
        <v>17.08</v>
      </c>
      <c r="G68" s="45"/>
      <c r="H68" s="105" t="s">
        <v>22</v>
      </c>
      <c r="I68" s="134">
        <f>F68*0</f>
        <v>0</v>
      </c>
      <c r="J68" s="46"/>
      <c r="K68" s="91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  <c r="AD68" s="92"/>
      <c r="AE68" s="92"/>
    </row>
    <row r="69" ht="15.75" customHeight="1">
      <c r="A69" s="114" t="s">
        <v>225</v>
      </c>
      <c r="B69" s="52"/>
      <c r="C69" s="52"/>
      <c r="D69" s="110" t="s">
        <v>53</v>
      </c>
      <c r="E69" s="52"/>
      <c r="F69" s="116">
        <v>57.86</v>
      </c>
      <c r="G69" s="52"/>
      <c r="H69" s="105" t="s">
        <v>22</v>
      </c>
      <c r="I69" s="134">
        <f>F69*10</f>
        <v>578.6</v>
      </c>
      <c r="J69" s="53"/>
      <c r="K69" s="91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  <c r="AD69" s="92"/>
      <c r="AE69" s="92"/>
    </row>
    <row r="70" ht="15.75" customHeight="1">
      <c r="A70" s="130" t="s">
        <v>138</v>
      </c>
      <c r="B70" s="19"/>
      <c r="C70" s="19"/>
      <c r="D70" s="19"/>
      <c r="E70" s="19"/>
      <c r="F70" s="19"/>
      <c r="G70" s="19"/>
      <c r="H70" s="19"/>
      <c r="I70" s="19"/>
      <c r="J70" s="20"/>
      <c r="K70" s="91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  <c r="AD70" s="92"/>
      <c r="AE70" s="92"/>
    </row>
    <row r="71" ht="15.75" customHeight="1">
      <c r="A71" s="103" t="s">
        <v>139</v>
      </c>
      <c r="B71" s="104" t="s">
        <v>140</v>
      </c>
      <c r="C71" s="104" t="s">
        <v>35</v>
      </c>
      <c r="D71" s="104" t="s">
        <v>22</v>
      </c>
      <c r="E71" s="110" t="s">
        <v>74</v>
      </c>
      <c r="F71" s="107">
        <v>856.34</v>
      </c>
      <c r="G71" s="106" t="s">
        <v>23</v>
      </c>
      <c r="H71" s="107">
        <f>H58-F71</f>
        <v>1090.66</v>
      </c>
      <c r="I71" s="145"/>
      <c r="J71" s="146"/>
      <c r="K71" s="91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  <c r="AD71" s="92"/>
      <c r="AE71" s="92"/>
    </row>
    <row r="72" ht="15.75" customHeight="1">
      <c r="A72" s="114" t="s">
        <v>141</v>
      </c>
      <c r="B72" s="110" t="s">
        <v>22</v>
      </c>
      <c r="C72" s="115"/>
      <c r="D72" s="110"/>
      <c r="E72" s="110" t="s">
        <v>74</v>
      </c>
      <c r="F72" s="105">
        <v>90.0</v>
      </c>
      <c r="G72" s="106" t="s">
        <v>23</v>
      </c>
      <c r="H72" s="105">
        <f t="shared" ref="H72:H77" si="8">H71-F72</f>
        <v>1000.66</v>
      </c>
      <c r="I72" s="145"/>
      <c r="J72" s="146"/>
      <c r="K72" s="91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  <c r="AD72" s="92"/>
      <c r="AE72" s="92"/>
    </row>
    <row r="73" ht="15.75" customHeight="1">
      <c r="A73" s="114" t="s">
        <v>152</v>
      </c>
      <c r="B73" s="110" t="s">
        <v>22</v>
      </c>
      <c r="C73" s="104" t="s">
        <v>148</v>
      </c>
      <c r="D73" s="110" t="s">
        <v>22</v>
      </c>
      <c r="E73" s="110" t="s">
        <v>74</v>
      </c>
      <c r="F73" s="116">
        <v>150.0</v>
      </c>
      <c r="G73" s="106" t="s">
        <v>23</v>
      </c>
      <c r="H73" s="105">
        <f t="shared" si="8"/>
        <v>850.66</v>
      </c>
      <c r="I73" s="145"/>
      <c r="J73" s="146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  <c r="AD73" s="92"/>
      <c r="AE73" s="92"/>
    </row>
    <row r="74" ht="15.75" customHeight="1">
      <c r="A74" s="103" t="s">
        <v>142</v>
      </c>
      <c r="B74" s="104" t="s">
        <v>143</v>
      </c>
      <c r="C74" s="115" t="s">
        <v>144</v>
      </c>
      <c r="D74" s="110" t="s">
        <v>22</v>
      </c>
      <c r="E74" s="110" t="s">
        <v>145</v>
      </c>
      <c r="F74" s="107">
        <v>40.9</v>
      </c>
      <c r="G74" s="106" t="s">
        <v>23</v>
      </c>
      <c r="H74" s="107">
        <f t="shared" si="8"/>
        <v>809.76</v>
      </c>
      <c r="I74" s="145"/>
      <c r="J74" s="146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  <c r="AD74" s="92"/>
      <c r="AE74" s="92"/>
    </row>
    <row r="75" ht="15.75" customHeight="1">
      <c r="A75" s="103" t="s">
        <v>146</v>
      </c>
      <c r="B75" s="104" t="s">
        <v>147</v>
      </c>
      <c r="C75" s="104" t="s">
        <v>148</v>
      </c>
      <c r="D75" s="110" t="s">
        <v>22</v>
      </c>
      <c r="E75" s="106" t="s">
        <v>74</v>
      </c>
      <c r="F75" s="107">
        <v>100.0</v>
      </c>
      <c r="G75" s="106" t="s">
        <v>23</v>
      </c>
      <c r="H75" s="107">
        <f t="shared" si="8"/>
        <v>709.76</v>
      </c>
      <c r="I75" s="145"/>
      <c r="J75" s="146"/>
      <c r="K75" s="91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  <c r="AD75" s="92"/>
      <c r="AE75" s="92"/>
    </row>
    <row r="76" ht="15.75" customHeight="1">
      <c r="A76" s="103" t="s">
        <v>189</v>
      </c>
      <c r="B76" s="104" t="s">
        <v>109</v>
      </c>
      <c r="C76" s="104" t="s">
        <v>148</v>
      </c>
      <c r="D76" s="110" t="s">
        <v>22</v>
      </c>
      <c r="E76" s="110" t="s">
        <v>190</v>
      </c>
      <c r="F76" s="117">
        <f>14*19</f>
        <v>266</v>
      </c>
      <c r="G76" s="106" t="s">
        <v>23</v>
      </c>
      <c r="H76" s="107">
        <f t="shared" si="8"/>
        <v>443.76</v>
      </c>
      <c r="I76" s="145"/>
      <c r="J76" s="146"/>
      <c r="K76" s="91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  <c r="AD76" s="92"/>
      <c r="AE76" s="92"/>
    </row>
    <row r="77" ht="15.75" customHeight="1">
      <c r="A77" s="103" t="s">
        <v>150</v>
      </c>
      <c r="B77" s="104" t="s">
        <v>151</v>
      </c>
      <c r="C77" s="104" t="s">
        <v>148</v>
      </c>
      <c r="D77" s="110" t="s">
        <v>22</v>
      </c>
      <c r="E77" s="110" t="s">
        <v>22</v>
      </c>
      <c r="F77" s="116">
        <v>0.0</v>
      </c>
      <c r="G77" s="106" t="s">
        <v>154</v>
      </c>
      <c r="H77" s="107">
        <f t="shared" si="8"/>
        <v>443.76</v>
      </c>
      <c r="I77" s="145"/>
      <c r="J77" s="146"/>
      <c r="K77" s="91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  <c r="AD77" s="92"/>
      <c r="AE77" s="92"/>
    </row>
    <row r="78">
      <c r="A78" s="91"/>
      <c r="B78" s="92"/>
      <c r="C78" s="92"/>
      <c r="D78" s="92"/>
      <c r="E78" s="92"/>
      <c r="F78" s="92"/>
      <c r="G78" s="92"/>
      <c r="H78" s="92"/>
      <c r="I78" s="147"/>
      <c r="J78" s="147"/>
      <c r="K78" s="91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  <c r="AD78" s="92"/>
      <c r="AE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1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  <c r="AD79" s="92"/>
      <c r="AE79" s="92"/>
    </row>
    <row r="80" ht="58.5" customHeight="1">
      <c r="A80" s="93" t="s">
        <v>226</v>
      </c>
      <c r="B80" s="19"/>
      <c r="C80" s="19"/>
      <c r="D80" s="19"/>
      <c r="E80" s="19"/>
      <c r="F80" s="19"/>
      <c r="G80" s="92"/>
      <c r="H80" s="92"/>
      <c r="I80" s="92"/>
      <c r="J80" s="92"/>
      <c r="K80" s="91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  <c r="AD80" s="92"/>
      <c r="AE80" s="92"/>
    </row>
    <row r="81" ht="15.75" customHeight="1">
      <c r="A81" s="97" t="s">
        <v>3</v>
      </c>
      <c r="B81" s="98" t="s">
        <v>4</v>
      </c>
      <c r="C81" s="98" t="s">
        <v>5</v>
      </c>
      <c r="D81" s="98" t="s">
        <v>8</v>
      </c>
      <c r="E81" s="98" t="s">
        <v>9</v>
      </c>
      <c r="F81" s="98" t="s">
        <v>10</v>
      </c>
      <c r="G81" s="92"/>
      <c r="H81" s="92"/>
      <c r="I81" s="92"/>
      <c r="J81" s="92"/>
      <c r="K81" s="91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  <c r="AD81" s="92"/>
      <c r="AE81" s="92"/>
    </row>
    <row r="82" ht="15.75" customHeight="1">
      <c r="A82" s="114" t="s">
        <v>156</v>
      </c>
      <c r="B82" s="104" t="s">
        <v>157</v>
      </c>
      <c r="C82" s="104" t="s">
        <v>148</v>
      </c>
      <c r="D82" s="105">
        <v>0.0</v>
      </c>
      <c r="E82" s="106" t="s">
        <v>154</v>
      </c>
      <c r="F82" s="107">
        <f>H77-D82</f>
        <v>443.76</v>
      </c>
      <c r="G82" s="92"/>
      <c r="H82" s="92"/>
      <c r="I82" s="92"/>
      <c r="J82" s="92"/>
      <c r="K82" s="91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  <c r="AD82" s="92"/>
      <c r="AE82" s="92"/>
    </row>
    <row r="83" ht="15.75" customHeight="1">
      <c r="A83" s="114" t="s">
        <v>158</v>
      </c>
      <c r="B83" s="104" t="s">
        <v>109</v>
      </c>
      <c r="C83" s="104" t="s">
        <v>148</v>
      </c>
      <c r="D83" s="105">
        <v>0.0</v>
      </c>
      <c r="E83" s="106" t="s">
        <v>154</v>
      </c>
      <c r="F83" s="107">
        <f t="shared" ref="F83:F85" si="9">F82-D83</f>
        <v>443.76</v>
      </c>
      <c r="G83" s="92"/>
      <c r="H83" s="92"/>
      <c r="I83" s="92"/>
      <c r="J83" s="92"/>
      <c r="K83" s="91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  <c r="AD83" s="92"/>
      <c r="AE83" s="92"/>
    </row>
    <row r="84" ht="15.75" customHeight="1">
      <c r="A84" s="114" t="s">
        <v>159</v>
      </c>
      <c r="B84" s="110" t="s">
        <v>160</v>
      </c>
      <c r="C84" s="104" t="s">
        <v>148</v>
      </c>
      <c r="D84" s="105">
        <v>0.0</v>
      </c>
      <c r="E84" s="106" t="s">
        <v>154</v>
      </c>
      <c r="F84" s="107">
        <f t="shared" si="9"/>
        <v>443.76</v>
      </c>
      <c r="G84" s="92"/>
      <c r="H84" s="92"/>
      <c r="I84" s="92"/>
      <c r="J84" s="92"/>
      <c r="K84" s="91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  <c r="AD84" s="92"/>
      <c r="AE84" s="92"/>
    </row>
    <row r="85" ht="15.75" customHeight="1">
      <c r="A85" s="114" t="s">
        <v>161</v>
      </c>
      <c r="B85" s="110" t="s">
        <v>22</v>
      </c>
      <c r="C85" s="104" t="s">
        <v>148</v>
      </c>
      <c r="D85" s="105">
        <v>0.0</v>
      </c>
      <c r="E85" s="106" t="s">
        <v>154</v>
      </c>
      <c r="F85" s="105">
        <f t="shared" si="9"/>
        <v>443.76</v>
      </c>
      <c r="G85" s="92"/>
      <c r="H85" s="92"/>
      <c r="I85" s="92"/>
      <c r="J85" s="92"/>
      <c r="K85" s="91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  <c r="AD85" s="92"/>
      <c r="AE85" s="92"/>
    </row>
    <row r="86" ht="15.75" customHeight="1">
      <c r="A86" s="148" t="s">
        <v>162</v>
      </c>
      <c r="B86" s="149"/>
      <c r="C86" s="149"/>
      <c r="D86" s="149"/>
      <c r="E86" s="150"/>
      <c r="F86" s="88">
        <f>F85</f>
        <v>443.76</v>
      </c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  <c r="AD86" s="92"/>
      <c r="AE86" s="92"/>
    </row>
    <row r="87" ht="15.75" customHeight="1">
      <c r="A87" s="151"/>
      <c r="B87" s="151"/>
      <c r="C87" s="151"/>
      <c r="D87" s="151"/>
      <c r="E87" s="152"/>
      <c r="F87" s="92"/>
      <c r="G87" s="92"/>
      <c r="H87" s="153"/>
      <c r="I87" s="92"/>
      <c r="J87" s="92"/>
      <c r="K87" s="91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  <c r="AD87" s="92"/>
      <c r="AE87" s="92"/>
    </row>
    <row r="88" ht="15.75" customHeight="1">
      <c r="A88" s="154"/>
      <c r="B88" s="154"/>
      <c r="C88" s="154"/>
      <c r="D88" s="154"/>
      <c r="E88" s="154"/>
      <c r="F88" s="92"/>
      <c r="G88" s="92"/>
      <c r="H88" s="153"/>
      <c r="I88" s="92"/>
      <c r="J88" s="92"/>
      <c r="K88" s="91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  <c r="AD88" s="92"/>
      <c r="AE88" s="92"/>
    </row>
    <row r="89" ht="15.75" customHeight="1">
      <c r="A89" s="155" t="s">
        <v>163</v>
      </c>
      <c r="B89" s="68"/>
      <c r="C89" s="156">
        <f>F86</f>
        <v>443.76</v>
      </c>
      <c r="D89" s="157" t="s">
        <v>164</v>
      </c>
      <c r="E89" s="92"/>
      <c r="F89" s="92"/>
      <c r="G89" s="92"/>
      <c r="H89" s="92"/>
      <c r="I89" s="92"/>
      <c r="J89" s="92"/>
      <c r="K89" s="91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  <c r="AD89" s="92"/>
      <c r="AE89" s="92"/>
    </row>
    <row r="90" ht="15.75" customHeight="1">
      <c r="A90" s="158" t="s">
        <v>165</v>
      </c>
      <c r="B90" s="19"/>
      <c r="C90" s="19"/>
      <c r="D90" s="20"/>
      <c r="E90" s="91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  <c r="AD90" s="92"/>
      <c r="AE90" s="92"/>
    </row>
    <row r="91" ht="15.75" customHeight="1">
      <c r="A91" s="99" t="s">
        <v>167</v>
      </c>
      <c r="B91" s="159">
        <v>0.0</v>
      </c>
      <c r="C91" s="159">
        <f>C89-B91</f>
        <v>443.76</v>
      </c>
      <c r="D91" s="160" t="b">
        <v>0</v>
      </c>
      <c r="E91" s="91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  <c r="AD91" s="92"/>
      <c r="AE91" s="92"/>
    </row>
    <row r="92" ht="15.75" customHeight="1">
      <c r="A92" s="99" t="s">
        <v>169</v>
      </c>
      <c r="B92" s="159">
        <v>0.0</v>
      </c>
      <c r="C92" s="159">
        <f>C91-B92</f>
        <v>443.76</v>
      </c>
      <c r="D92" s="160" t="b">
        <v>0</v>
      </c>
      <c r="E92" s="91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  <c r="AD92" s="92"/>
      <c r="AE92" s="92"/>
    </row>
    <row r="93" ht="15.75" customHeight="1">
      <c r="A93" s="161" t="s">
        <v>171</v>
      </c>
      <c r="B93" s="19"/>
      <c r="C93" s="19"/>
      <c r="D93" s="20"/>
      <c r="E93" s="91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  <c r="AD93" s="92"/>
      <c r="AE93" s="92"/>
    </row>
    <row r="94" ht="15.75" customHeight="1">
      <c r="A94" s="99" t="s">
        <v>173</v>
      </c>
      <c r="B94" s="159">
        <v>0.0</v>
      </c>
      <c r="C94" s="159">
        <f>C93-B94</f>
        <v>0</v>
      </c>
      <c r="D94" s="160" t="b">
        <v>0</v>
      </c>
      <c r="E94" s="91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  <c r="AD94" s="92"/>
      <c r="AE94" s="92"/>
    </row>
    <row r="95" ht="15.75" customHeight="1">
      <c r="A95" s="99" t="s">
        <v>174</v>
      </c>
      <c r="B95" s="159">
        <v>0.0</v>
      </c>
      <c r="C95" s="159">
        <f>C93-B95</f>
        <v>0</v>
      </c>
      <c r="D95" s="160" t="b">
        <v>0</v>
      </c>
      <c r="E95" s="91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  <c r="AD95" s="92"/>
      <c r="AE95" s="92"/>
    </row>
    <row r="96" ht="15.75" customHeight="1">
      <c r="A96" s="161" t="s">
        <v>175</v>
      </c>
      <c r="B96" s="19"/>
      <c r="C96" s="19"/>
      <c r="D96" s="20"/>
      <c r="E96" s="91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  <c r="AD96" s="92"/>
      <c r="AE96" s="92"/>
    </row>
    <row r="97" ht="15.75" customHeight="1">
      <c r="A97" s="99" t="s">
        <v>176</v>
      </c>
      <c r="B97" s="159">
        <v>0.0</v>
      </c>
      <c r="C97" s="159">
        <f>C95-B97</f>
        <v>0</v>
      </c>
      <c r="D97" s="160" t="b">
        <v>0</v>
      </c>
      <c r="E97" s="91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  <c r="AD97" s="92"/>
      <c r="AE97" s="92"/>
    </row>
    <row r="98" ht="15.75" customHeight="1">
      <c r="A98" s="99" t="s">
        <v>177</v>
      </c>
      <c r="B98" s="159">
        <v>0.0</v>
      </c>
      <c r="C98" s="159">
        <f>C97-B98</f>
        <v>0</v>
      </c>
      <c r="D98" s="160" t="b">
        <v>0</v>
      </c>
      <c r="E98" s="91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  <c r="AD98" s="92"/>
      <c r="AE98" s="92"/>
    </row>
    <row r="99" ht="15.75" customHeight="1">
      <c r="A99" s="161" t="s">
        <v>178</v>
      </c>
      <c r="B99" s="19"/>
      <c r="C99" s="19"/>
      <c r="D99" s="20"/>
      <c r="E99" s="91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  <c r="AD99" s="92"/>
      <c r="AE99" s="92"/>
    </row>
    <row r="100" ht="15.75" customHeight="1">
      <c r="A100" s="99" t="s">
        <v>179</v>
      </c>
      <c r="B100" s="159">
        <v>0.0</v>
      </c>
      <c r="C100" s="159">
        <f>C99-B100</f>
        <v>0</v>
      </c>
      <c r="D100" s="160" t="b">
        <v>0</v>
      </c>
      <c r="E100" s="91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  <c r="AD100" s="92"/>
      <c r="AE100" s="92"/>
    </row>
    <row r="101" ht="15.75" customHeight="1">
      <c r="A101" s="99" t="s">
        <v>180</v>
      </c>
      <c r="B101" s="159">
        <v>0.0</v>
      </c>
      <c r="C101" s="159">
        <f>C99-B101</f>
        <v>0</v>
      </c>
      <c r="D101" s="160" t="b">
        <v>0</v>
      </c>
      <c r="E101" s="91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  <c r="AD101" s="92"/>
      <c r="AE101" s="92"/>
    </row>
    <row r="102" ht="15.75" customHeight="1">
      <c r="A102" s="99" t="s">
        <v>181</v>
      </c>
      <c r="B102" s="159">
        <v>0.0</v>
      </c>
      <c r="C102" s="159">
        <f>C101-B102</f>
        <v>0</v>
      </c>
      <c r="D102" s="160" t="b">
        <v>0</v>
      </c>
      <c r="E102" s="91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  <c r="AD102" s="92"/>
      <c r="AE102" s="92"/>
    </row>
    <row r="103" ht="15.75" customHeight="1">
      <c r="A103" s="99" t="s">
        <v>182</v>
      </c>
      <c r="B103" s="159">
        <v>0.0</v>
      </c>
      <c r="C103" s="159">
        <f>C101-B103</f>
        <v>0</v>
      </c>
      <c r="D103" s="160" t="b">
        <v>0</v>
      </c>
      <c r="E103" s="91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  <c r="AD103" s="92"/>
      <c r="AE103" s="92"/>
    </row>
    <row r="104" ht="15.75" customHeight="1">
      <c r="A104" s="99" t="s">
        <v>183</v>
      </c>
      <c r="B104" s="159">
        <v>0.0</v>
      </c>
      <c r="C104" s="159">
        <f>C103-B104</f>
        <v>0</v>
      </c>
      <c r="D104" s="160" t="b">
        <v>0</v>
      </c>
      <c r="E104" s="91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  <c r="AD104" s="92"/>
      <c r="AE104" s="92"/>
    </row>
    <row r="105" ht="15.75" customHeight="1">
      <c r="A105" s="99" t="s">
        <v>184</v>
      </c>
      <c r="B105" s="159">
        <v>0.0</v>
      </c>
      <c r="C105" s="159">
        <f>C103-B105</f>
        <v>0</v>
      </c>
      <c r="D105" s="160" t="b">
        <v>0</v>
      </c>
      <c r="E105" s="91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  <c r="AD105" s="92"/>
      <c r="AE105" s="92"/>
    </row>
    <row r="106" ht="15.75" customHeight="1">
      <c r="A106" s="99" t="s">
        <v>185</v>
      </c>
      <c r="B106" s="159">
        <v>0.0</v>
      </c>
      <c r="C106" s="159">
        <f>C105-B106</f>
        <v>0</v>
      </c>
      <c r="D106" s="160" t="b">
        <v>0</v>
      </c>
      <c r="E106" s="91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  <c r="AD106" s="92"/>
      <c r="AE106" s="92"/>
    </row>
    <row r="107" ht="15.75" customHeight="1">
      <c r="A107" s="162" t="s">
        <v>186</v>
      </c>
      <c r="B107" s="163">
        <v>0.0</v>
      </c>
      <c r="C107" s="163">
        <f>C105-B107</f>
        <v>0</v>
      </c>
      <c r="D107" s="164" t="b">
        <v>0</v>
      </c>
      <c r="E107" s="91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  <c r="AD107" s="92"/>
      <c r="AE107" s="92"/>
    </row>
    <row r="108" ht="15.75" customHeight="1">
      <c r="A108" s="165"/>
      <c r="B108" s="154"/>
      <c r="C108" s="154"/>
      <c r="D108" s="154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  <c r="AD108" s="92"/>
      <c r="AE108" s="92"/>
    </row>
    <row r="109" ht="15.75" customHeight="1">
      <c r="A109" s="165"/>
      <c r="B109" s="154"/>
      <c r="C109" s="154"/>
      <c r="D109" s="154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  <c r="AD109" s="92"/>
      <c r="AE109" s="92"/>
    </row>
    <row r="110" ht="15.75" customHeight="1">
      <c r="A110" s="166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</row>
    <row r="111" ht="15.75" customHeight="1">
      <c r="A111" s="166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  <c r="AD111" s="92"/>
      <c r="AE111" s="92"/>
    </row>
    <row r="112" ht="15.75" customHeight="1">
      <c r="A112" s="166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  <c r="AD112" s="92"/>
      <c r="AE112" s="92"/>
    </row>
    <row r="113" ht="15.75" customHeight="1">
      <c r="A113" s="166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  <c r="AD113" s="92"/>
      <c r="AE113" s="92"/>
    </row>
    <row r="114" ht="15.75" customHeight="1">
      <c r="A114" s="166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</row>
    <row r="115" ht="15.75" customHeight="1">
      <c r="A115" s="166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  <c r="AD115" s="92"/>
      <c r="AE115" s="92"/>
    </row>
    <row r="116" ht="15.75" customHeight="1">
      <c r="A116" s="166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</row>
    <row r="117" ht="15.75" customHeight="1">
      <c r="A117" s="166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  <c r="AD117" s="92"/>
      <c r="AE117" s="92"/>
    </row>
    <row r="118" ht="15.75" customHeight="1">
      <c r="A118" s="166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  <c r="AD118" s="92"/>
      <c r="AE118" s="92"/>
    </row>
    <row r="119" ht="15.75" customHeight="1">
      <c r="A119" s="166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  <c r="AD119" s="92"/>
      <c r="AE119" s="92"/>
    </row>
    <row r="120" ht="15.75" customHeight="1">
      <c r="A120" s="166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  <c r="AD120" s="92"/>
      <c r="AE120" s="92"/>
    </row>
    <row r="121" ht="15.75" customHeight="1">
      <c r="A121" s="166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  <c r="AD121" s="92"/>
      <c r="AE121" s="92"/>
    </row>
    <row r="122" ht="15.75" customHeight="1">
      <c r="A122" s="166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  <c r="AD122" s="92"/>
      <c r="AE122" s="92"/>
    </row>
    <row r="123" ht="15.75" customHeight="1">
      <c r="A123" s="166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  <c r="AD123" s="92"/>
      <c r="AE123" s="92"/>
    </row>
    <row r="124" ht="15.75" customHeight="1">
      <c r="A124" s="166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  <c r="AD124" s="92"/>
      <c r="AE124" s="92"/>
    </row>
    <row r="125" ht="15.75" customHeight="1">
      <c r="A125" s="166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  <c r="AD125" s="92"/>
      <c r="AE125" s="92"/>
    </row>
    <row r="126" ht="15.75" customHeight="1">
      <c r="A126" s="166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  <c r="AD126" s="92"/>
      <c r="AE126" s="92"/>
    </row>
    <row r="127" ht="15.75" customHeight="1">
      <c r="A127" s="166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  <c r="AD127" s="92"/>
      <c r="AE127" s="92"/>
    </row>
    <row r="128" ht="15.75" customHeight="1">
      <c r="A128" s="166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  <c r="AD128" s="92"/>
      <c r="AE128" s="92"/>
    </row>
    <row r="129" ht="15.75" customHeight="1">
      <c r="A129" s="166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  <c r="AD129" s="92"/>
      <c r="AE129" s="92"/>
    </row>
    <row r="130" ht="15.75" customHeight="1">
      <c r="A130" s="166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  <c r="AD130" s="92"/>
      <c r="AE130" s="92"/>
    </row>
  </sheetData>
  <mergeCells count="42">
    <mergeCell ref="E21:E31"/>
    <mergeCell ref="G21:G31"/>
    <mergeCell ref="A1:E1"/>
    <mergeCell ref="L1:Q1"/>
    <mergeCell ref="A2:G2"/>
    <mergeCell ref="A18:J18"/>
    <mergeCell ref="A20:J20"/>
    <mergeCell ref="B21:B31"/>
    <mergeCell ref="C21:C31"/>
    <mergeCell ref="J21:J31"/>
    <mergeCell ref="A32:J32"/>
    <mergeCell ref="B33:B34"/>
    <mergeCell ref="C33:C34"/>
    <mergeCell ref="E33:E34"/>
    <mergeCell ref="G33:G34"/>
    <mergeCell ref="J33:J34"/>
    <mergeCell ref="J54:J58"/>
    <mergeCell ref="A59:J59"/>
    <mergeCell ref="A35:J35"/>
    <mergeCell ref="A37:J37"/>
    <mergeCell ref="C38:C52"/>
    <mergeCell ref="E38:E52"/>
    <mergeCell ref="G38:G52"/>
    <mergeCell ref="J38:J52"/>
    <mergeCell ref="A53:J53"/>
    <mergeCell ref="B38:B52"/>
    <mergeCell ref="B54:B58"/>
    <mergeCell ref="C54:C58"/>
    <mergeCell ref="E54:E58"/>
    <mergeCell ref="B60:B69"/>
    <mergeCell ref="C60:C69"/>
    <mergeCell ref="E60:E69"/>
    <mergeCell ref="A93:D93"/>
    <mergeCell ref="A96:D96"/>
    <mergeCell ref="A99:D99"/>
    <mergeCell ref="G54:G58"/>
    <mergeCell ref="G60:G69"/>
    <mergeCell ref="J60:J69"/>
    <mergeCell ref="A70:J70"/>
    <mergeCell ref="A80:F80"/>
    <mergeCell ref="A89:B89"/>
    <mergeCell ref="A90:D90"/>
  </mergeCells>
  <conditionalFormatting sqref="Q3:Q18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F4:F15 G21 G33 G36 G38 G54 G60 G71:G77 E82:E85">
      <formula1>"Pago,Pendente"</formula1>
    </dataValidation>
    <dataValidation type="list" allowBlank="1" showErrorMessage="1" sqref="Q3:Q8">
      <formula1>"Recebido,Pendente"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1.63"/>
    <col customWidth="1" min="2" max="2" width="18.0"/>
    <col customWidth="1" min="3" max="3" width="16.0"/>
    <col customWidth="1" min="4" max="4" width="14.0"/>
    <col customWidth="1" min="5" max="5" width="12.0"/>
    <col customWidth="1" min="6" max="6" width="14.0"/>
    <col customWidth="1" min="7" max="7" width="12.75"/>
    <col customWidth="1" min="8" max="10" width="16.0"/>
    <col customWidth="1" min="11" max="11" width="9.13"/>
    <col customWidth="1" min="12" max="12" width="28.0"/>
    <col customWidth="1" min="13" max="15" width="14.0"/>
    <col customWidth="1" min="16" max="16" width="18.0"/>
    <col customWidth="1" min="17" max="17" width="17.63"/>
  </cols>
  <sheetData>
    <row r="1" ht="15.75" customHeight="1">
      <c r="A1" s="1" t="s">
        <v>187</v>
      </c>
      <c r="B1" s="2"/>
      <c r="C1" s="2"/>
      <c r="D1" s="2"/>
      <c r="E1" s="3"/>
      <c r="F1" s="4" t="s">
        <v>1</v>
      </c>
      <c r="G1" s="5"/>
      <c r="H1" s="50">
        <f>M9</f>
        <v>6240</v>
      </c>
      <c r="I1" s="167"/>
      <c r="J1" s="7"/>
      <c r="K1" s="8"/>
      <c r="L1" s="9" t="s">
        <v>2</v>
      </c>
      <c r="M1" s="2"/>
      <c r="N1" s="2"/>
      <c r="O1" s="2"/>
      <c r="P1" s="2"/>
      <c r="Q1" s="10"/>
      <c r="R1" s="11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5.75" customHeight="1">
      <c r="A2" s="13" t="s">
        <v>3</v>
      </c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68" t="s">
        <v>192</v>
      </c>
      <c r="J2" s="15" t="s">
        <v>11</v>
      </c>
      <c r="K2" s="8"/>
      <c r="L2" s="13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5" t="s">
        <v>17</v>
      </c>
      <c r="R2" s="16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</row>
    <row r="3" ht="15.75" customHeight="1">
      <c r="A3" s="54" t="s">
        <v>227</v>
      </c>
      <c r="B3" s="19"/>
      <c r="C3" s="19"/>
      <c r="D3" s="19"/>
      <c r="E3" s="19"/>
      <c r="F3" s="19"/>
      <c r="G3" s="19"/>
      <c r="H3" s="19"/>
      <c r="I3" s="19"/>
      <c r="J3" s="20"/>
      <c r="K3" s="8"/>
      <c r="L3" s="21"/>
      <c r="M3" s="22"/>
      <c r="N3" s="22"/>
      <c r="O3" s="22"/>
      <c r="P3" s="22"/>
      <c r="Q3" s="23"/>
      <c r="R3" s="11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</row>
    <row r="4" ht="15.75" customHeight="1">
      <c r="A4" s="24" t="s">
        <v>19</v>
      </c>
      <c r="B4" s="25" t="s">
        <v>20</v>
      </c>
      <c r="C4" s="25" t="s">
        <v>21</v>
      </c>
      <c r="D4" s="25" t="s">
        <v>22</v>
      </c>
      <c r="E4" s="25" t="s">
        <v>22</v>
      </c>
      <c r="F4" s="26">
        <v>65.0</v>
      </c>
      <c r="G4" s="27" t="s">
        <v>154</v>
      </c>
      <c r="H4" s="26">
        <f>H1-F4</f>
        <v>6175</v>
      </c>
      <c r="I4" s="169"/>
      <c r="J4" s="29"/>
      <c r="K4" s="8"/>
      <c r="L4" s="30" t="s">
        <v>24</v>
      </c>
      <c r="M4" s="31">
        <v>2540.0</v>
      </c>
      <c r="N4" s="31">
        <v>580.0</v>
      </c>
      <c r="O4" s="31">
        <v>264.0</v>
      </c>
      <c r="P4" s="32">
        <v>5.0</v>
      </c>
      <c r="Q4" s="33" t="s">
        <v>154</v>
      </c>
      <c r="R4" s="11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ht="15.75" customHeight="1">
      <c r="A5" s="24" t="s">
        <v>26</v>
      </c>
      <c r="B5" s="25" t="s">
        <v>27</v>
      </c>
      <c r="C5" s="25" t="s">
        <v>28</v>
      </c>
      <c r="D5" s="25" t="s">
        <v>22</v>
      </c>
      <c r="E5" s="25">
        <v>7.0</v>
      </c>
      <c r="F5" s="26">
        <v>1371.16</v>
      </c>
      <c r="G5" s="27" t="s">
        <v>154</v>
      </c>
      <c r="H5" s="26">
        <f t="shared" ref="H5:H9" si="1">H4-F5</f>
        <v>4803.84</v>
      </c>
      <c r="I5" s="169"/>
      <c r="J5" s="29"/>
      <c r="K5" s="8"/>
      <c r="L5" s="30" t="s">
        <v>29</v>
      </c>
      <c r="M5" s="31">
        <v>2000.0</v>
      </c>
      <c r="N5" s="34" t="s">
        <v>22</v>
      </c>
      <c r="O5" s="34" t="s">
        <v>22</v>
      </c>
      <c r="P5" s="32">
        <v>10.0</v>
      </c>
      <c r="Q5" s="33" t="s">
        <v>154</v>
      </c>
      <c r="R5" s="11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</row>
    <row r="6" ht="15.75" customHeight="1">
      <c r="A6" s="24" t="s">
        <v>30</v>
      </c>
      <c r="B6" s="25" t="s">
        <v>31</v>
      </c>
      <c r="C6" s="25" t="s">
        <v>28</v>
      </c>
      <c r="D6" s="25" t="s">
        <v>22</v>
      </c>
      <c r="E6" s="25">
        <v>7.0</v>
      </c>
      <c r="F6" s="26">
        <v>473.45</v>
      </c>
      <c r="G6" s="27" t="s">
        <v>154</v>
      </c>
      <c r="H6" s="26">
        <f t="shared" si="1"/>
        <v>4330.39</v>
      </c>
      <c r="I6" s="169"/>
      <c r="J6" s="29"/>
      <c r="K6" s="8"/>
      <c r="L6" s="30" t="s">
        <v>32</v>
      </c>
      <c r="M6" s="31">
        <v>400.0</v>
      </c>
      <c r="N6" s="34" t="s">
        <v>22</v>
      </c>
      <c r="O6" s="34" t="s">
        <v>22</v>
      </c>
      <c r="P6" s="32">
        <v>10.0</v>
      </c>
      <c r="Q6" s="33" t="s">
        <v>154</v>
      </c>
      <c r="R6" s="11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ht="15.75" customHeight="1">
      <c r="A7" s="24" t="s">
        <v>33</v>
      </c>
      <c r="B7" s="25" t="s">
        <v>34</v>
      </c>
      <c r="C7" s="25" t="s">
        <v>35</v>
      </c>
      <c r="D7" s="25" t="s">
        <v>22</v>
      </c>
      <c r="E7" s="25">
        <v>20.0</v>
      </c>
      <c r="F7" s="26">
        <v>127.99</v>
      </c>
      <c r="G7" s="27" t="s">
        <v>154</v>
      </c>
      <c r="H7" s="26">
        <f t="shared" si="1"/>
        <v>4202.4</v>
      </c>
      <c r="I7" s="169"/>
      <c r="J7" s="29"/>
      <c r="K7" s="12"/>
      <c r="L7" s="30" t="s">
        <v>39</v>
      </c>
      <c r="M7" s="31">
        <v>500.0</v>
      </c>
      <c r="N7" s="34" t="s">
        <v>22</v>
      </c>
      <c r="O7" s="34" t="s">
        <v>22</v>
      </c>
      <c r="P7" s="32">
        <v>10.0</v>
      </c>
      <c r="Q7" s="33" t="s">
        <v>154</v>
      </c>
      <c r="R7" s="11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</row>
    <row r="8" ht="15.75" customHeight="1">
      <c r="A8" s="24" t="s">
        <v>37</v>
      </c>
      <c r="B8" s="25" t="s">
        <v>38</v>
      </c>
      <c r="C8" s="25" t="s">
        <v>35</v>
      </c>
      <c r="D8" s="25" t="s">
        <v>22</v>
      </c>
      <c r="E8" s="25">
        <v>10.0</v>
      </c>
      <c r="F8" s="26">
        <v>40.91</v>
      </c>
      <c r="G8" s="27" t="s">
        <v>154</v>
      </c>
      <c r="H8" s="26">
        <f t="shared" si="1"/>
        <v>4161.49</v>
      </c>
      <c r="I8" s="169"/>
      <c r="J8" s="29"/>
      <c r="K8" s="8"/>
      <c r="L8" s="30" t="s">
        <v>42</v>
      </c>
      <c r="M8" s="170">
        <v>800.0</v>
      </c>
      <c r="N8" s="34" t="s">
        <v>22</v>
      </c>
      <c r="O8" s="34" t="s">
        <v>22</v>
      </c>
      <c r="P8" s="32">
        <v>15.0</v>
      </c>
      <c r="Q8" s="33" t="s">
        <v>154</v>
      </c>
      <c r="R8" s="11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</row>
    <row r="9" ht="15.75" customHeight="1">
      <c r="A9" s="24" t="s">
        <v>40</v>
      </c>
      <c r="B9" s="25" t="s">
        <v>41</v>
      </c>
      <c r="C9" s="25" t="s">
        <v>35</v>
      </c>
      <c r="D9" s="25" t="s">
        <v>22</v>
      </c>
      <c r="E9" s="25">
        <v>17.0</v>
      </c>
      <c r="F9" s="26">
        <v>99.99</v>
      </c>
      <c r="G9" s="27" t="s">
        <v>154</v>
      </c>
      <c r="H9" s="26">
        <f t="shared" si="1"/>
        <v>4061.5</v>
      </c>
      <c r="I9" s="169"/>
      <c r="J9" s="29"/>
      <c r="K9" s="8"/>
      <c r="L9" s="35"/>
      <c r="M9" s="36">
        <f>SUM(M4:M8)</f>
        <v>6240</v>
      </c>
      <c r="N9" s="36"/>
      <c r="O9" s="36"/>
      <c r="P9" s="37"/>
      <c r="Q9" s="23"/>
      <c r="R9" s="11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</row>
    <row r="10" ht="15.75" customHeight="1">
      <c r="A10" s="18" t="s">
        <v>43</v>
      </c>
      <c r="B10" s="19"/>
      <c r="C10" s="19"/>
      <c r="D10" s="19"/>
      <c r="E10" s="19"/>
      <c r="F10" s="19"/>
      <c r="G10" s="19"/>
      <c r="H10" s="19"/>
      <c r="I10" s="19"/>
      <c r="J10" s="20"/>
      <c r="K10" s="8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ht="15.75" customHeight="1">
      <c r="A11" s="171" t="s">
        <v>193</v>
      </c>
      <c r="B11" s="38"/>
      <c r="C11" s="38"/>
      <c r="D11" s="60" t="s">
        <v>22</v>
      </c>
      <c r="E11" s="39"/>
      <c r="F11" s="28">
        <v>0.0</v>
      </c>
      <c r="G11" s="40" t="s">
        <v>154</v>
      </c>
      <c r="H11" s="26">
        <f>H9-F11</f>
        <v>4061.5</v>
      </c>
      <c r="I11" s="172"/>
      <c r="J11" s="173">
        <f>SUM(F11:F16)</f>
        <v>812.72</v>
      </c>
      <c r="K11" s="8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ht="15.75" customHeight="1">
      <c r="A12" s="174" t="s">
        <v>52</v>
      </c>
      <c r="B12" s="45"/>
      <c r="C12" s="45"/>
      <c r="D12" s="60" t="s">
        <v>200</v>
      </c>
      <c r="E12" s="45"/>
      <c r="F12" s="26">
        <v>286.81</v>
      </c>
      <c r="G12" s="45"/>
      <c r="H12" s="26">
        <f t="shared" ref="H12:H16" si="2">H11-F12</f>
        <v>3774.69</v>
      </c>
      <c r="I12" s="172">
        <f>F12*10</f>
        <v>2868.1</v>
      </c>
      <c r="J12" s="45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</row>
    <row r="13" ht="15.75" customHeight="1">
      <c r="A13" s="174" t="s">
        <v>59</v>
      </c>
      <c r="B13" s="45"/>
      <c r="C13" s="45"/>
      <c r="D13" s="60" t="s">
        <v>228</v>
      </c>
      <c r="E13" s="45"/>
      <c r="F13" s="26">
        <v>375.0</v>
      </c>
      <c r="G13" s="45"/>
      <c r="H13" s="28">
        <f t="shared" si="2"/>
        <v>3399.69</v>
      </c>
      <c r="I13" s="172">
        <f>F13*2</f>
        <v>750</v>
      </c>
      <c r="J13" s="45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ht="15.75" customHeight="1">
      <c r="A14" s="174" t="s">
        <v>63</v>
      </c>
      <c r="B14" s="45"/>
      <c r="C14" s="45"/>
      <c r="D14" s="60" t="s">
        <v>60</v>
      </c>
      <c r="E14" s="45"/>
      <c r="F14" s="26">
        <v>59.02</v>
      </c>
      <c r="G14" s="45"/>
      <c r="H14" s="26">
        <f t="shared" si="2"/>
        <v>3340.67</v>
      </c>
      <c r="I14" s="172">
        <f>F14*4</f>
        <v>236.08</v>
      </c>
      <c r="J14" s="45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ht="15.75" customHeight="1">
      <c r="A15" s="174" t="s">
        <v>65</v>
      </c>
      <c r="B15" s="45"/>
      <c r="C15" s="45"/>
      <c r="D15" s="60" t="s">
        <v>198</v>
      </c>
      <c r="E15" s="45"/>
      <c r="F15" s="26">
        <v>40.75</v>
      </c>
      <c r="G15" s="45"/>
      <c r="H15" s="26">
        <f t="shared" si="2"/>
        <v>3299.92</v>
      </c>
      <c r="I15" s="172">
        <f>F15*5</f>
        <v>203.75</v>
      </c>
      <c r="J15" s="45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ht="15.75" customHeight="1">
      <c r="A16" s="174" t="s">
        <v>67</v>
      </c>
      <c r="B16" s="52"/>
      <c r="C16" s="52"/>
      <c r="D16" s="60" t="s">
        <v>229</v>
      </c>
      <c r="E16" s="52"/>
      <c r="F16" s="26">
        <v>51.14</v>
      </c>
      <c r="G16" s="52"/>
      <c r="H16" s="26">
        <f t="shared" si="2"/>
        <v>3248.78</v>
      </c>
      <c r="I16" s="172">
        <f>F16*2</f>
        <v>102.28</v>
      </c>
      <c r="J16" s="52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ht="15.75" customHeight="1">
      <c r="A17" s="54" t="s">
        <v>70</v>
      </c>
      <c r="B17" s="19"/>
      <c r="C17" s="19"/>
      <c r="D17" s="19"/>
      <c r="E17" s="19"/>
      <c r="F17" s="19"/>
      <c r="G17" s="19"/>
      <c r="H17" s="19"/>
      <c r="I17" s="19"/>
      <c r="J17" s="20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ht="15.75" customHeight="1">
      <c r="A18" s="24" t="s">
        <v>71</v>
      </c>
      <c r="B18" s="38" t="s">
        <v>72</v>
      </c>
      <c r="C18" s="38" t="s">
        <v>46</v>
      </c>
      <c r="D18" s="60" t="s">
        <v>230</v>
      </c>
      <c r="E18" s="39" t="s">
        <v>74</v>
      </c>
      <c r="F18" s="26">
        <v>33.67</v>
      </c>
      <c r="G18" s="40" t="s">
        <v>154</v>
      </c>
      <c r="H18" s="26">
        <f>H16-F18</f>
        <v>3215.11</v>
      </c>
      <c r="I18" s="175">
        <f t="shared" ref="I18:I19" si="3">F18*9</f>
        <v>303.03</v>
      </c>
      <c r="J18" s="41">
        <f>SUM(F18:F19)</f>
        <v>59.67</v>
      </c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ht="15.75" customHeight="1">
      <c r="A19" s="24" t="s">
        <v>75</v>
      </c>
      <c r="B19" s="52"/>
      <c r="C19" s="52"/>
      <c r="D19" s="60" t="s">
        <v>230</v>
      </c>
      <c r="E19" s="52"/>
      <c r="F19" s="26">
        <v>26.0</v>
      </c>
      <c r="G19" s="52"/>
      <c r="H19" s="26">
        <f>H18-F19</f>
        <v>3189.11</v>
      </c>
      <c r="I19" s="175">
        <f t="shared" si="3"/>
        <v>234</v>
      </c>
      <c r="J19" s="53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ht="15.75" customHeight="1">
      <c r="A20" s="54" t="s">
        <v>76</v>
      </c>
      <c r="B20" s="19"/>
      <c r="C20" s="19"/>
      <c r="D20" s="19"/>
      <c r="E20" s="19"/>
      <c r="F20" s="19"/>
      <c r="G20" s="19"/>
      <c r="H20" s="19"/>
      <c r="I20" s="19"/>
      <c r="J20" s="20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</row>
    <row r="21" ht="15.75" customHeight="1">
      <c r="A21" s="59" t="s">
        <v>231</v>
      </c>
      <c r="B21" s="25" t="s">
        <v>78</v>
      </c>
      <c r="C21" s="25" t="s">
        <v>46</v>
      </c>
      <c r="D21" s="25" t="s">
        <v>22</v>
      </c>
      <c r="E21" s="60" t="s">
        <v>74</v>
      </c>
      <c r="F21" s="28">
        <v>59.95</v>
      </c>
      <c r="G21" s="27" t="s">
        <v>154</v>
      </c>
      <c r="H21" s="26">
        <f>H19-F21</f>
        <v>3129.16</v>
      </c>
      <c r="I21" s="176"/>
      <c r="J21" s="177">
        <f>SUM(F21)</f>
        <v>59.95</v>
      </c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ht="15.75" customHeight="1">
      <c r="A22" s="54" t="s">
        <v>94</v>
      </c>
      <c r="B22" s="19"/>
      <c r="C22" s="19"/>
      <c r="D22" s="19"/>
      <c r="E22" s="19"/>
      <c r="F22" s="19"/>
      <c r="G22" s="19"/>
      <c r="H22" s="19"/>
      <c r="I22" s="19"/>
      <c r="J22" s="20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ht="15.75" customHeight="1">
      <c r="A23" s="171" t="s">
        <v>193</v>
      </c>
      <c r="B23" s="39" t="s">
        <v>201</v>
      </c>
      <c r="C23" s="39" t="s">
        <v>202</v>
      </c>
      <c r="D23" s="60" t="s">
        <v>22</v>
      </c>
      <c r="E23" s="39"/>
      <c r="F23" s="28">
        <v>0.0</v>
      </c>
      <c r="G23" s="40" t="s">
        <v>154</v>
      </c>
      <c r="H23" s="26">
        <f>H21-F23</f>
        <v>3129.16</v>
      </c>
      <c r="I23" s="178"/>
      <c r="J23" s="179">
        <f>SUM(F23:F31)</f>
        <v>677.65</v>
      </c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ht="15.75" customHeight="1">
      <c r="A24" s="174" t="s">
        <v>112</v>
      </c>
      <c r="B24" s="45"/>
      <c r="C24" s="45"/>
      <c r="D24" s="60" t="s">
        <v>200</v>
      </c>
      <c r="E24" s="45"/>
      <c r="F24" s="26">
        <v>25.98</v>
      </c>
      <c r="G24" s="45"/>
      <c r="H24" s="26">
        <f t="shared" ref="H24:H31" si="4">H23-F24</f>
        <v>3103.18</v>
      </c>
      <c r="I24" s="178">
        <f>F24*10</f>
        <v>259.8</v>
      </c>
      <c r="J24" s="45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ht="15.75" customHeight="1">
      <c r="A25" s="174" t="s">
        <v>113</v>
      </c>
      <c r="B25" s="45"/>
      <c r="C25" s="45"/>
      <c r="D25" s="60" t="s">
        <v>232</v>
      </c>
      <c r="E25" s="45"/>
      <c r="F25" s="26">
        <v>143.0</v>
      </c>
      <c r="G25" s="45"/>
      <c r="H25" s="26">
        <f t="shared" si="4"/>
        <v>2960.18</v>
      </c>
      <c r="I25" s="178">
        <f>F25*3</f>
        <v>429</v>
      </c>
      <c r="J25" s="45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</row>
    <row r="26" ht="15.75" customHeight="1">
      <c r="A26" s="174" t="s">
        <v>115</v>
      </c>
      <c r="B26" s="45"/>
      <c r="C26" s="45"/>
      <c r="D26" s="60" t="s">
        <v>200</v>
      </c>
      <c r="E26" s="45"/>
      <c r="F26" s="26">
        <v>133.37</v>
      </c>
      <c r="G26" s="45"/>
      <c r="H26" s="26">
        <f t="shared" si="4"/>
        <v>2826.81</v>
      </c>
      <c r="I26" s="178">
        <f>F26*10</f>
        <v>1333.7</v>
      </c>
      <c r="J26" s="45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</row>
    <row r="27" ht="15.75" customHeight="1">
      <c r="A27" s="174" t="s">
        <v>116</v>
      </c>
      <c r="B27" s="45"/>
      <c r="C27" s="45"/>
      <c r="D27" s="60" t="s">
        <v>198</v>
      </c>
      <c r="E27" s="45"/>
      <c r="F27" s="26">
        <v>133.33</v>
      </c>
      <c r="G27" s="45"/>
      <c r="H27" s="26">
        <f t="shared" si="4"/>
        <v>2693.48</v>
      </c>
      <c r="I27" s="178">
        <f>F27*5</f>
        <v>666.65</v>
      </c>
      <c r="J27" s="45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</row>
    <row r="28" ht="15.75" customHeight="1">
      <c r="A28" s="174" t="s">
        <v>118</v>
      </c>
      <c r="B28" s="45"/>
      <c r="C28" s="45"/>
      <c r="D28" s="60" t="s">
        <v>233</v>
      </c>
      <c r="E28" s="45"/>
      <c r="F28" s="26">
        <v>15.52</v>
      </c>
      <c r="G28" s="45"/>
      <c r="H28" s="26">
        <f t="shared" si="4"/>
        <v>2677.96</v>
      </c>
      <c r="I28" s="178">
        <f>F28*3</f>
        <v>46.56</v>
      </c>
      <c r="J28" s="45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</row>
    <row r="29" ht="15.75" customHeight="1">
      <c r="A29" s="174" t="s">
        <v>120</v>
      </c>
      <c r="B29" s="45"/>
      <c r="C29" s="45"/>
      <c r="D29" s="60" t="s">
        <v>198</v>
      </c>
      <c r="E29" s="45"/>
      <c r="F29" s="26">
        <v>57.99</v>
      </c>
      <c r="G29" s="45"/>
      <c r="H29" s="26">
        <f t="shared" si="4"/>
        <v>2619.97</v>
      </c>
      <c r="I29" s="178">
        <f>F29*5</f>
        <v>289.95</v>
      </c>
      <c r="J29" s="45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</row>
    <row r="30" ht="15.75" customHeight="1">
      <c r="A30" s="174" t="s">
        <v>121</v>
      </c>
      <c r="B30" s="45"/>
      <c r="C30" s="45"/>
      <c r="D30" s="60" t="s">
        <v>198</v>
      </c>
      <c r="E30" s="45"/>
      <c r="F30" s="26">
        <v>16.62</v>
      </c>
      <c r="G30" s="45"/>
      <c r="H30" s="26">
        <f t="shared" si="4"/>
        <v>2603.35</v>
      </c>
      <c r="I30" s="178">
        <f>F30+5</f>
        <v>21.62</v>
      </c>
      <c r="J30" s="45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</row>
    <row r="31" ht="15.75" customHeight="1">
      <c r="A31" s="174" t="s">
        <v>122</v>
      </c>
      <c r="B31" s="52"/>
      <c r="C31" s="52"/>
      <c r="D31" s="60" t="s">
        <v>196</v>
      </c>
      <c r="E31" s="52"/>
      <c r="F31" s="26">
        <v>151.84</v>
      </c>
      <c r="G31" s="52"/>
      <c r="H31" s="28">
        <f t="shared" si="4"/>
        <v>2451.51</v>
      </c>
      <c r="I31" s="178">
        <f>F31*1</f>
        <v>151.84</v>
      </c>
      <c r="J31" s="52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 ht="15.75" customHeight="1">
      <c r="A32" s="54" t="s">
        <v>126</v>
      </c>
      <c r="B32" s="19"/>
      <c r="C32" s="19"/>
      <c r="D32" s="19"/>
      <c r="E32" s="19"/>
      <c r="F32" s="19"/>
      <c r="G32" s="19"/>
      <c r="H32" s="19"/>
      <c r="I32" s="19"/>
      <c r="J32" s="20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 ht="15.75" customHeight="1">
      <c r="A33" s="171" t="s">
        <v>193</v>
      </c>
      <c r="B33" s="38" t="s">
        <v>128</v>
      </c>
      <c r="C33" s="38" t="s">
        <v>46</v>
      </c>
      <c r="D33" s="180" t="s">
        <v>22</v>
      </c>
      <c r="E33" s="39" t="s">
        <v>74</v>
      </c>
      <c r="F33" s="181">
        <v>0.0</v>
      </c>
      <c r="G33" s="40" t="s">
        <v>154</v>
      </c>
      <c r="H33" s="182">
        <f>H31-F33</f>
        <v>2451.51</v>
      </c>
      <c r="I33" s="183">
        <f t="shared" ref="I33:I34" si="5">F33*8</f>
        <v>0</v>
      </c>
      <c r="J33" s="55">
        <f>SUM(F33:F36)</f>
        <v>285.14</v>
      </c>
      <c r="K33" s="184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</row>
    <row r="34" ht="15.75" customHeight="1">
      <c r="A34" s="24" t="s">
        <v>127</v>
      </c>
      <c r="B34" s="45"/>
      <c r="C34" s="45"/>
      <c r="D34" s="60" t="s">
        <v>234</v>
      </c>
      <c r="E34" s="45"/>
      <c r="F34" s="26">
        <v>81.66</v>
      </c>
      <c r="G34" s="45"/>
      <c r="H34" s="26">
        <f t="shared" ref="H34:H36" si="6">H33-F34</f>
        <v>2369.85</v>
      </c>
      <c r="I34" s="176">
        <f t="shared" si="5"/>
        <v>653.28</v>
      </c>
      <c r="J34" s="46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 ht="15.75" customHeight="1">
      <c r="A35" s="24" t="s">
        <v>120</v>
      </c>
      <c r="B35" s="45"/>
      <c r="C35" s="45"/>
      <c r="D35" s="60" t="s">
        <v>198</v>
      </c>
      <c r="E35" s="45"/>
      <c r="F35" s="26">
        <v>57.99</v>
      </c>
      <c r="G35" s="45"/>
      <c r="H35" s="26">
        <f t="shared" si="6"/>
        <v>2311.86</v>
      </c>
      <c r="I35" s="176">
        <f>F35*5</f>
        <v>289.95</v>
      </c>
      <c r="J35" s="46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ht="15.75" customHeight="1">
      <c r="A36" s="24" t="s">
        <v>131</v>
      </c>
      <c r="B36" s="52"/>
      <c r="C36" s="52"/>
      <c r="D36" s="60" t="s">
        <v>200</v>
      </c>
      <c r="E36" s="52"/>
      <c r="F36" s="26">
        <v>145.49</v>
      </c>
      <c r="G36" s="52"/>
      <c r="H36" s="28">
        <f t="shared" si="6"/>
        <v>2166.37</v>
      </c>
      <c r="I36" s="176">
        <f>F36*10</f>
        <v>1454.9</v>
      </c>
      <c r="J36" s="53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 ht="15.75" customHeight="1">
      <c r="A37" s="54" t="s">
        <v>132</v>
      </c>
      <c r="B37" s="19"/>
      <c r="C37" s="19"/>
      <c r="D37" s="19"/>
      <c r="E37" s="19"/>
      <c r="F37" s="19"/>
      <c r="G37" s="19"/>
      <c r="H37" s="19"/>
      <c r="I37" s="19"/>
      <c r="J37" s="20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 ht="15.75" customHeight="1">
      <c r="A38" s="59" t="s">
        <v>213</v>
      </c>
      <c r="B38" s="38" t="s">
        <v>133</v>
      </c>
      <c r="C38" s="38" t="s">
        <v>46</v>
      </c>
      <c r="D38" s="60" t="s">
        <v>200</v>
      </c>
      <c r="E38" s="39" t="s">
        <v>134</v>
      </c>
      <c r="F38" s="57">
        <v>68.42</v>
      </c>
      <c r="G38" s="40" t="s">
        <v>154</v>
      </c>
      <c r="H38" s="26">
        <f>H36-F38</f>
        <v>2097.95</v>
      </c>
      <c r="I38" s="176">
        <f t="shared" ref="I38:I40" si="7">F38*10</f>
        <v>684.2</v>
      </c>
      <c r="J38" s="58">
        <f>SUM(F38:F47)</f>
        <v>270.17</v>
      </c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</row>
    <row r="39" ht="15.75" customHeight="1">
      <c r="A39" s="59" t="s">
        <v>214</v>
      </c>
      <c r="B39" s="45"/>
      <c r="C39" s="45"/>
      <c r="D39" s="60" t="s">
        <v>200</v>
      </c>
      <c r="E39" s="45"/>
      <c r="F39" s="57">
        <v>40.68</v>
      </c>
      <c r="G39" s="45"/>
      <c r="H39" s="26">
        <f t="shared" ref="H39:H47" si="8">H38-F39</f>
        <v>2057.27</v>
      </c>
      <c r="I39" s="176">
        <f t="shared" si="7"/>
        <v>406.8</v>
      </c>
      <c r="J39" s="46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</row>
    <row r="40" ht="15.75" customHeight="1">
      <c r="A40" s="59" t="s">
        <v>215</v>
      </c>
      <c r="B40" s="45"/>
      <c r="C40" s="45"/>
      <c r="D40" s="60" t="s">
        <v>235</v>
      </c>
      <c r="E40" s="45"/>
      <c r="F40" s="57">
        <v>27.12</v>
      </c>
      <c r="G40" s="45"/>
      <c r="H40" s="26">
        <f t="shared" si="8"/>
        <v>2030.15</v>
      </c>
      <c r="I40" s="176">
        <f t="shared" si="7"/>
        <v>271.2</v>
      </c>
      <c r="J40" s="46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  <row r="41" ht="15.75" customHeight="1">
      <c r="A41" s="59" t="s">
        <v>216</v>
      </c>
      <c r="B41" s="45"/>
      <c r="C41" s="45"/>
      <c r="D41" s="60" t="s">
        <v>62</v>
      </c>
      <c r="E41" s="45"/>
      <c r="F41" s="57">
        <v>9.1</v>
      </c>
      <c r="G41" s="45"/>
      <c r="H41" s="26">
        <f t="shared" si="8"/>
        <v>2021.05</v>
      </c>
      <c r="I41" s="176">
        <f>F41*1</f>
        <v>9.1</v>
      </c>
      <c r="J41" s="46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</row>
    <row r="42" ht="15.75" customHeight="1">
      <c r="A42" s="59" t="s">
        <v>218</v>
      </c>
      <c r="B42" s="45"/>
      <c r="C42" s="45"/>
      <c r="D42" s="60" t="s">
        <v>55</v>
      </c>
      <c r="E42" s="45"/>
      <c r="F42" s="57">
        <v>9.62</v>
      </c>
      <c r="G42" s="45"/>
      <c r="H42" s="26">
        <f t="shared" si="8"/>
        <v>2011.43</v>
      </c>
      <c r="I42" s="176">
        <f>F42*2</f>
        <v>19.24</v>
      </c>
      <c r="J42" s="46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</row>
    <row r="43" ht="15.75" customHeight="1">
      <c r="A43" s="59" t="s">
        <v>219</v>
      </c>
      <c r="B43" s="45"/>
      <c r="C43" s="45"/>
      <c r="D43" s="60" t="s">
        <v>236</v>
      </c>
      <c r="E43" s="45"/>
      <c r="F43" s="57">
        <v>7.56</v>
      </c>
      <c r="G43" s="45"/>
      <c r="H43" s="26">
        <f t="shared" si="8"/>
        <v>2003.87</v>
      </c>
      <c r="I43" s="176">
        <f>F43*3</f>
        <v>22.68</v>
      </c>
      <c r="J43" s="46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</row>
    <row r="44" ht="15.75" customHeight="1">
      <c r="A44" s="59" t="s">
        <v>221</v>
      </c>
      <c r="B44" s="45"/>
      <c r="C44" s="45"/>
      <c r="D44" s="60" t="s">
        <v>55</v>
      </c>
      <c r="E44" s="45"/>
      <c r="F44" s="57">
        <v>6.68</v>
      </c>
      <c r="G44" s="45"/>
      <c r="H44" s="26">
        <f t="shared" si="8"/>
        <v>1997.19</v>
      </c>
      <c r="I44" s="176">
        <f t="shared" ref="I44:I45" si="9">F44*2</f>
        <v>13.36</v>
      </c>
      <c r="J44" s="46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</row>
    <row r="45" ht="15.75" customHeight="1">
      <c r="A45" s="59" t="s">
        <v>222</v>
      </c>
      <c r="B45" s="45"/>
      <c r="C45" s="45"/>
      <c r="D45" s="60" t="s">
        <v>55</v>
      </c>
      <c r="E45" s="45"/>
      <c r="F45" s="57">
        <v>26.05</v>
      </c>
      <c r="G45" s="45"/>
      <c r="H45" s="26">
        <f t="shared" si="8"/>
        <v>1971.14</v>
      </c>
      <c r="I45" s="176">
        <f t="shared" si="9"/>
        <v>52.1</v>
      </c>
      <c r="J45" s="46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</row>
    <row r="46" ht="15.75" customHeight="1">
      <c r="A46" s="59" t="s">
        <v>223</v>
      </c>
      <c r="B46" s="45"/>
      <c r="C46" s="45"/>
      <c r="D46" s="60" t="s">
        <v>237</v>
      </c>
      <c r="E46" s="45"/>
      <c r="F46" s="57">
        <v>17.08</v>
      </c>
      <c r="G46" s="45"/>
      <c r="H46" s="26">
        <f t="shared" si="8"/>
        <v>1954.06</v>
      </c>
      <c r="I46" s="176">
        <f>F46*0</f>
        <v>0</v>
      </c>
      <c r="J46" s="46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</row>
    <row r="47" ht="15.75" customHeight="1">
      <c r="A47" s="59" t="s">
        <v>225</v>
      </c>
      <c r="B47" s="52"/>
      <c r="C47" s="52"/>
      <c r="D47" s="60" t="s">
        <v>73</v>
      </c>
      <c r="E47" s="52"/>
      <c r="F47" s="57">
        <v>57.86</v>
      </c>
      <c r="G47" s="52"/>
      <c r="H47" s="26">
        <f t="shared" si="8"/>
        <v>1896.2</v>
      </c>
      <c r="I47" s="176">
        <f>F47*10</f>
        <v>578.6</v>
      </c>
      <c r="J47" s="53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</row>
    <row r="48" ht="15.75" customHeight="1">
      <c r="A48" s="54" t="s">
        <v>138</v>
      </c>
      <c r="B48" s="19"/>
      <c r="C48" s="19"/>
      <c r="D48" s="19"/>
      <c r="E48" s="19"/>
      <c r="F48" s="19"/>
      <c r="G48" s="19"/>
      <c r="H48" s="19"/>
      <c r="I48" s="19"/>
      <c r="J48" s="20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</row>
    <row r="49" ht="15.75" customHeight="1">
      <c r="A49" s="24" t="s">
        <v>139</v>
      </c>
      <c r="B49" s="25" t="s">
        <v>140</v>
      </c>
      <c r="C49" s="25" t="s">
        <v>35</v>
      </c>
      <c r="D49" s="25" t="s">
        <v>22</v>
      </c>
      <c r="E49" s="60" t="s">
        <v>74</v>
      </c>
      <c r="F49" s="26">
        <v>856.34</v>
      </c>
      <c r="G49" s="27" t="s">
        <v>154</v>
      </c>
      <c r="H49" s="26">
        <f>H47-F49</f>
        <v>1039.86</v>
      </c>
      <c r="I49" s="169"/>
      <c r="J49" s="29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</row>
    <row r="50" ht="15.75" customHeight="1">
      <c r="A50" s="59" t="s">
        <v>141</v>
      </c>
      <c r="B50" s="60" t="s">
        <v>22</v>
      </c>
      <c r="C50" s="62"/>
      <c r="D50" s="60"/>
      <c r="E50" s="60" t="s">
        <v>22</v>
      </c>
      <c r="F50" s="28">
        <v>90.0</v>
      </c>
      <c r="G50" s="27" t="s">
        <v>154</v>
      </c>
      <c r="H50" s="28">
        <f t="shared" ref="H50:H55" si="10">H49-F50</f>
        <v>949.86</v>
      </c>
      <c r="I50" s="169"/>
      <c r="J50" s="29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</row>
    <row r="51" ht="15.75" customHeight="1">
      <c r="A51" s="59" t="s">
        <v>152</v>
      </c>
      <c r="B51" s="60" t="s">
        <v>22</v>
      </c>
      <c r="C51" s="25" t="s">
        <v>148</v>
      </c>
      <c r="D51" s="60" t="s">
        <v>22</v>
      </c>
      <c r="E51" s="60" t="s">
        <v>22</v>
      </c>
      <c r="F51" s="57">
        <v>150.0</v>
      </c>
      <c r="G51" s="27" t="s">
        <v>154</v>
      </c>
      <c r="H51" s="28">
        <f t="shared" si="10"/>
        <v>799.86</v>
      </c>
      <c r="I51" s="169"/>
      <c r="J51" s="29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 ht="15.75" customHeight="1">
      <c r="A52" s="24" t="s">
        <v>142</v>
      </c>
      <c r="B52" s="25" t="s">
        <v>143</v>
      </c>
      <c r="C52" s="62" t="s">
        <v>144</v>
      </c>
      <c r="D52" s="60" t="s">
        <v>22</v>
      </c>
      <c r="E52" s="60" t="s">
        <v>145</v>
      </c>
      <c r="F52" s="26">
        <v>40.9</v>
      </c>
      <c r="G52" s="27" t="s">
        <v>154</v>
      </c>
      <c r="H52" s="26">
        <f t="shared" si="10"/>
        <v>758.96</v>
      </c>
      <c r="I52" s="169"/>
      <c r="J52" s="29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</row>
    <row r="53" ht="15.75" customHeight="1">
      <c r="A53" s="24" t="s">
        <v>146</v>
      </c>
      <c r="B53" s="25" t="s">
        <v>147</v>
      </c>
      <c r="C53" s="25" t="s">
        <v>148</v>
      </c>
      <c r="D53" s="60" t="s">
        <v>22</v>
      </c>
      <c r="E53" s="27" t="s">
        <v>74</v>
      </c>
      <c r="F53" s="26">
        <v>100.0</v>
      </c>
      <c r="G53" s="27" t="s">
        <v>154</v>
      </c>
      <c r="H53" s="26">
        <f t="shared" si="10"/>
        <v>658.96</v>
      </c>
      <c r="I53" s="169"/>
      <c r="J53" s="29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</row>
    <row r="54" ht="15.75" customHeight="1">
      <c r="A54" s="24" t="s">
        <v>189</v>
      </c>
      <c r="B54" s="25" t="s">
        <v>109</v>
      </c>
      <c r="C54" s="25" t="s">
        <v>148</v>
      </c>
      <c r="D54" s="60" t="s">
        <v>22</v>
      </c>
      <c r="E54" s="60" t="s">
        <v>22</v>
      </c>
      <c r="F54" s="56">
        <f>14*21</f>
        <v>294</v>
      </c>
      <c r="G54" s="27" t="s">
        <v>154</v>
      </c>
      <c r="H54" s="26">
        <f t="shared" si="10"/>
        <v>364.96</v>
      </c>
      <c r="I54" s="169"/>
      <c r="J54" s="29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</row>
    <row r="55" ht="15.75" customHeight="1">
      <c r="A55" s="24" t="s">
        <v>150</v>
      </c>
      <c r="B55" s="25" t="s">
        <v>151</v>
      </c>
      <c r="C55" s="25" t="s">
        <v>148</v>
      </c>
      <c r="D55" s="60" t="s">
        <v>22</v>
      </c>
      <c r="E55" s="60" t="s">
        <v>22</v>
      </c>
      <c r="F55" s="56">
        <f>80*2</f>
        <v>160</v>
      </c>
      <c r="G55" s="27" t="s">
        <v>154</v>
      </c>
      <c r="H55" s="26">
        <f t="shared" si="10"/>
        <v>204.96</v>
      </c>
      <c r="I55" s="169"/>
      <c r="J55" s="29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</row>
    <row r="56" ht="15.75" customHeight="1">
      <c r="A56" s="54" t="s">
        <v>155</v>
      </c>
      <c r="B56" s="19"/>
      <c r="C56" s="19"/>
      <c r="D56" s="19"/>
      <c r="E56" s="19"/>
      <c r="F56" s="19"/>
      <c r="G56" s="19"/>
      <c r="H56" s="19"/>
      <c r="I56" s="19"/>
      <c r="J56" s="20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</row>
    <row r="57" ht="15.75" customHeight="1">
      <c r="A57" s="59" t="s">
        <v>156</v>
      </c>
      <c r="B57" s="25" t="s">
        <v>157</v>
      </c>
      <c r="C57" s="25" t="s">
        <v>148</v>
      </c>
      <c r="D57" s="60" t="s">
        <v>22</v>
      </c>
      <c r="E57" s="60" t="s">
        <v>22</v>
      </c>
      <c r="F57" s="28">
        <v>0.0</v>
      </c>
      <c r="G57" s="27" t="s">
        <v>154</v>
      </c>
      <c r="H57" s="26">
        <f>H55-F57</f>
        <v>204.96</v>
      </c>
      <c r="I57" s="169"/>
      <c r="J57" s="29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</row>
    <row r="58" ht="15.75" customHeight="1">
      <c r="A58" s="59" t="s">
        <v>158</v>
      </c>
      <c r="B58" s="25" t="s">
        <v>109</v>
      </c>
      <c r="C58" s="25" t="s">
        <v>148</v>
      </c>
      <c r="D58" s="60" t="s">
        <v>22</v>
      </c>
      <c r="E58" s="60" t="s">
        <v>22</v>
      </c>
      <c r="F58" s="28">
        <v>0.0</v>
      </c>
      <c r="G58" s="27" t="s">
        <v>154</v>
      </c>
      <c r="H58" s="26">
        <f t="shared" ref="H58:H60" si="11">H57-F58</f>
        <v>204.96</v>
      </c>
      <c r="I58" s="169"/>
      <c r="J58" s="29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</row>
    <row r="59" ht="15.75" customHeight="1">
      <c r="A59" s="59" t="s">
        <v>159</v>
      </c>
      <c r="B59" s="60" t="s">
        <v>160</v>
      </c>
      <c r="C59" s="25" t="s">
        <v>148</v>
      </c>
      <c r="D59" s="60" t="s">
        <v>22</v>
      </c>
      <c r="E59" s="60" t="s">
        <v>22</v>
      </c>
      <c r="F59" s="28">
        <v>0.0</v>
      </c>
      <c r="G59" s="27" t="s">
        <v>154</v>
      </c>
      <c r="H59" s="26">
        <f t="shared" si="11"/>
        <v>204.96</v>
      </c>
      <c r="I59" s="169"/>
      <c r="J59" s="29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 ht="15.75" customHeight="1">
      <c r="A60" s="59" t="s">
        <v>161</v>
      </c>
      <c r="B60" s="60" t="s">
        <v>22</v>
      </c>
      <c r="C60" s="25" t="s">
        <v>148</v>
      </c>
      <c r="D60" s="60" t="s">
        <v>22</v>
      </c>
      <c r="E60" s="60" t="s">
        <v>22</v>
      </c>
      <c r="F60" s="28">
        <v>0.0</v>
      </c>
      <c r="G60" s="27" t="s">
        <v>154</v>
      </c>
      <c r="H60" s="28">
        <f t="shared" si="11"/>
        <v>204.96</v>
      </c>
      <c r="I60" s="169"/>
      <c r="J60" s="29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ht="15.75" customHeight="1">
      <c r="A61" s="63" t="s">
        <v>162</v>
      </c>
      <c r="B61" s="64"/>
      <c r="C61" s="64"/>
      <c r="D61" s="64"/>
      <c r="E61" s="65"/>
      <c r="F61" s="186">
        <f>H59</f>
        <v>204.96</v>
      </c>
      <c r="G61" s="23"/>
      <c r="H61" s="23"/>
      <c r="I61" s="187" t="str">
        <f>I12+#REF!+#REF!+#REF!+#REF!+#REF!+I13+I14+I15+I16+I18+I19+I24+I25+I26+I27+#REF!+I28+I29+I30+I31+#REF!+I34+I35+#REF!+I36+I38+I39+I40+I41+I42+I43+I44+I45+I46+I47</f>
        <v>#REF!</v>
      </c>
      <c r="J61" s="23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ht="15.75" customHeight="1">
      <c r="A62" s="12"/>
      <c r="B62" s="12"/>
      <c r="C62" s="12"/>
      <c r="D62" s="12"/>
      <c r="E62" s="12"/>
      <c r="F62" s="12"/>
      <c r="G62" s="12"/>
      <c r="H62" s="51"/>
      <c r="I62" s="12"/>
      <c r="J62" s="12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</row>
    <row r="63" ht="15.75" customHeight="1">
      <c r="A63" s="67" t="s">
        <v>163</v>
      </c>
      <c r="B63" s="68"/>
      <c r="C63" s="69">
        <f>F61</f>
        <v>204.96</v>
      </c>
      <c r="D63" s="70" t="s">
        <v>164</v>
      </c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</row>
    <row r="64" ht="15.75" customHeight="1">
      <c r="A64" s="72" t="s">
        <v>165</v>
      </c>
      <c r="B64" s="19"/>
      <c r="C64" s="19"/>
      <c r="D64" s="20"/>
      <c r="E64" s="11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</row>
    <row r="65" ht="15.75" customHeight="1">
      <c r="A65" s="30" t="s">
        <v>167</v>
      </c>
      <c r="B65" s="73">
        <v>0.0</v>
      </c>
      <c r="C65" s="73">
        <f>C63-B65</f>
        <v>204.96</v>
      </c>
      <c r="D65" s="74" t="b">
        <v>0</v>
      </c>
      <c r="E65" s="11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</row>
    <row r="66" ht="15.75" customHeight="1">
      <c r="A66" s="30" t="s">
        <v>169</v>
      </c>
      <c r="B66" s="73">
        <v>0.0</v>
      </c>
      <c r="C66" s="73">
        <f>C65-B66</f>
        <v>204.96</v>
      </c>
      <c r="D66" s="74" t="b">
        <v>0</v>
      </c>
      <c r="E66" s="11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</row>
    <row r="67" ht="15.75" customHeight="1">
      <c r="A67" s="76" t="s">
        <v>171</v>
      </c>
      <c r="B67" s="19"/>
      <c r="C67" s="19"/>
      <c r="D67" s="20"/>
      <c r="E67" s="11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</row>
    <row r="68" ht="15.75" customHeight="1">
      <c r="A68" s="30" t="s">
        <v>173</v>
      </c>
      <c r="B68" s="73">
        <v>0.0</v>
      </c>
      <c r="C68" s="73">
        <f>C67-B68</f>
        <v>0</v>
      </c>
      <c r="D68" s="74" t="b">
        <v>0</v>
      </c>
      <c r="E68" s="11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</row>
    <row r="69" ht="15.75" customHeight="1">
      <c r="A69" s="30" t="s">
        <v>174</v>
      </c>
      <c r="B69" s="73">
        <v>0.0</v>
      </c>
      <c r="C69" s="73">
        <f>C67-B69</f>
        <v>0</v>
      </c>
      <c r="D69" s="74" t="b">
        <v>0</v>
      </c>
      <c r="E69" s="11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</row>
    <row r="70" ht="15.75" customHeight="1">
      <c r="A70" s="76" t="s">
        <v>175</v>
      </c>
      <c r="B70" s="19"/>
      <c r="C70" s="19"/>
      <c r="D70" s="20"/>
      <c r="E70" s="11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 ht="15.75" customHeight="1">
      <c r="A71" s="30" t="s">
        <v>176</v>
      </c>
      <c r="B71" s="73">
        <v>0.0</v>
      </c>
      <c r="C71" s="73">
        <f>C69-B71</f>
        <v>0</v>
      </c>
      <c r="D71" s="74" t="b">
        <v>0</v>
      </c>
      <c r="E71" s="11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</row>
    <row r="72" ht="15.75" customHeight="1">
      <c r="A72" s="30" t="s">
        <v>177</v>
      </c>
      <c r="B72" s="73">
        <v>0.0</v>
      </c>
      <c r="C72" s="73">
        <f>C71-B72</f>
        <v>0</v>
      </c>
      <c r="D72" s="74" t="b">
        <v>0</v>
      </c>
      <c r="E72" s="11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</row>
    <row r="73" ht="15.75" customHeight="1">
      <c r="A73" s="76" t="s">
        <v>178</v>
      </c>
      <c r="B73" s="19"/>
      <c r="C73" s="19"/>
      <c r="D73" s="20"/>
      <c r="E73" s="11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</row>
    <row r="74" ht="15.75" customHeight="1">
      <c r="A74" s="30" t="s">
        <v>179</v>
      </c>
      <c r="B74" s="73">
        <v>0.0</v>
      </c>
      <c r="C74" s="73">
        <f>C73-B74</f>
        <v>0</v>
      </c>
      <c r="D74" s="74" t="b">
        <v>0</v>
      </c>
      <c r="E74" s="11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</row>
    <row r="75" ht="15.75" customHeight="1">
      <c r="A75" s="30" t="s">
        <v>180</v>
      </c>
      <c r="B75" s="73">
        <v>0.0</v>
      </c>
      <c r="C75" s="73">
        <f>C73-B75</f>
        <v>0</v>
      </c>
      <c r="D75" s="74" t="b">
        <v>0</v>
      </c>
      <c r="E75" s="11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</row>
    <row r="76" ht="15.75" customHeight="1">
      <c r="A76" s="30" t="s">
        <v>181</v>
      </c>
      <c r="B76" s="73">
        <v>0.0</v>
      </c>
      <c r="C76" s="73">
        <f>C75-B76</f>
        <v>0</v>
      </c>
      <c r="D76" s="74" t="b">
        <v>0</v>
      </c>
      <c r="E76" s="11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</row>
    <row r="77" ht="15.75" customHeight="1">
      <c r="A77" s="30" t="s">
        <v>182</v>
      </c>
      <c r="B77" s="73">
        <v>0.0</v>
      </c>
      <c r="C77" s="73">
        <f>C75-B77</f>
        <v>0</v>
      </c>
      <c r="D77" s="74" t="b">
        <v>0</v>
      </c>
      <c r="E77" s="11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</row>
    <row r="78" ht="15.75" customHeight="1">
      <c r="A78" s="30" t="s">
        <v>183</v>
      </c>
      <c r="B78" s="73">
        <v>0.0</v>
      </c>
      <c r="C78" s="73">
        <f>C77-B78</f>
        <v>0</v>
      </c>
      <c r="D78" s="74" t="b">
        <v>0</v>
      </c>
      <c r="E78" s="11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</row>
    <row r="79" ht="15.75" customHeight="1">
      <c r="A79" s="30" t="s">
        <v>184</v>
      </c>
      <c r="B79" s="73">
        <v>0.0</v>
      </c>
      <c r="C79" s="73">
        <f>C77-B79</f>
        <v>0</v>
      </c>
      <c r="D79" s="74" t="b">
        <v>0</v>
      </c>
      <c r="E79" s="11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</row>
    <row r="80" ht="15.75" customHeight="1">
      <c r="A80" s="30" t="s">
        <v>185</v>
      </c>
      <c r="B80" s="73">
        <v>0.0</v>
      </c>
      <c r="C80" s="73">
        <f>C79-B80</f>
        <v>0</v>
      </c>
      <c r="D80" s="74" t="b">
        <v>0</v>
      </c>
      <c r="E80" s="11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ht="15.75" customHeight="1">
      <c r="A81" s="78" t="s">
        <v>186</v>
      </c>
      <c r="B81" s="79">
        <v>0.0</v>
      </c>
      <c r="C81" s="79">
        <f>C79-B81</f>
        <v>0</v>
      </c>
      <c r="D81" s="80" t="b">
        <v>0</v>
      </c>
      <c r="E81" s="11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</row>
    <row r="82" ht="15.75" customHeight="1">
      <c r="A82" s="81"/>
      <c r="B82" s="47"/>
      <c r="C82" s="47"/>
      <c r="D82" s="47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</row>
    <row r="83" ht="15.75" customHeight="1">
      <c r="A83" s="8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</row>
    <row r="84" ht="15.75" customHeight="1">
      <c r="A84" s="8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</row>
    <row r="85" ht="15.75" customHeight="1">
      <c r="A85" s="8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</row>
    <row r="86" ht="15.75" customHeight="1">
      <c r="A86" s="8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</row>
    <row r="87" ht="15.75" customHeight="1">
      <c r="A87" s="8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</row>
    <row r="88" ht="15.75" customHeight="1">
      <c r="A88" s="8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</row>
    <row r="89" ht="15.75" customHeight="1">
      <c r="A89" s="8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</row>
    <row r="90" ht="15.75" customHeight="1">
      <c r="A90" s="8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</row>
    <row r="91" ht="15.75" customHeight="1">
      <c r="A91" s="8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</row>
    <row r="92" ht="15.75" customHeight="1">
      <c r="A92" s="8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</row>
    <row r="93" ht="15.75" customHeight="1">
      <c r="A93" s="8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</row>
    <row r="94" ht="15.75" customHeight="1">
      <c r="A94" s="8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</row>
    <row r="95" ht="15.75" customHeight="1">
      <c r="A95" s="8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 ht="15.75" customHeight="1">
      <c r="A96" s="8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</row>
    <row r="97" ht="15.75" customHeight="1">
      <c r="A97" s="8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</row>
    <row r="98" ht="15.75" customHeight="1">
      <c r="A98" s="8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</row>
    <row r="99" ht="15.75" customHeight="1">
      <c r="A99" s="8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</row>
    <row r="100" ht="15.75" customHeight="1">
      <c r="A100" s="8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</row>
    <row r="101" ht="15.75" customHeight="1">
      <c r="A101" s="8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ht="15.75" customHeight="1">
      <c r="A102" s="8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ht="15.75" customHeight="1">
      <c r="A103" s="8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mergeCells count="42">
    <mergeCell ref="G11:G16"/>
    <mergeCell ref="J11:J16"/>
    <mergeCell ref="G18:G19"/>
    <mergeCell ref="J18:J19"/>
    <mergeCell ref="J23:J31"/>
    <mergeCell ref="A20:J20"/>
    <mergeCell ref="A22:J22"/>
    <mergeCell ref="A1:E1"/>
    <mergeCell ref="L1:Q1"/>
    <mergeCell ref="A3:J3"/>
    <mergeCell ref="A10:J10"/>
    <mergeCell ref="C11:C16"/>
    <mergeCell ref="E11:E16"/>
    <mergeCell ref="A17:J17"/>
    <mergeCell ref="G23:G31"/>
    <mergeCell ref="A32:J32"/>
    <mergeCell ref="B33:B36"/>
    <mergeCell ref="C33:C36"/>
    <mergeCell ref="E33:E36"/>
    <mergeCell ref="G33:G36"/>
    <mergeCell ref="J33:J36"/>
    <mergeCell ref="A37:J37"/>
    <mergeCell ref="B11:B16"/>
    <mergeCell ref="B18:B19"/>
    <mergeCell ref="C18:C19"/>
    <mergeCell ref="E18:E19"/>
    <mergeCell ref="B23:B31"/>
    <mergeCell ref="C23:C31"/>
    <mergeCell ref="E23:E31"/>
    <mergeCell ref="A61:E61"/>
    <mergeCell ref="A63:B63"/>
    <mergeCell ref="A64:D64"/>
    <mergeCell ref="A67:D67"/>
    <mergeCell ref="A70:D70"/>
    <mergeCell ref="A73:D73"/>
    <mergeCell ref="B38:B47"/>
    <mergeCell ref="C38:C47"/>
    <mergeCell ref="E38:E47"/>
    <mergeCell ref="G38:G47"/>
    <mergeCell ref="J38:J47"/>
    <mergeCell ref="A48:J48"/>
    <mergeCell ref="A56:J56"/>
  </mergeCells>
  <conditionalFormatting sqref="Q4:Q9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G4:G9 G11 G18 G21 G23 G33 G38 G49:G55 G57:G60">
      <formula1>"Pago,Pendente"</formula1>
    </dataValidation>
    <dataValidation type="list" allowBlank="1" showErrorMessage="1" sqref="Q4:Q8">
      <formula1>"Recebido,Pendente"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1.63"/>
    <col customWidth="1" min="2" max="2" width="18.0"/>
    <col customWidth="1" min="3" max="3" width="16.0"/>
    <col customWidth="1" min="4" max="4" width="14.0"/>
    <col customWidth="1" min="5" max="5" width="12.0"/>
    <col customWidth="1" min="6" max="6" width="14.0"/>
    <col customWidth="1" min="7" max="7" width="12.75"/>
    <col customWidth="1" min="8" max="10" width="16.0"/>
    <col customWidth="1" min="11" max="11" width="9.13"/>
    <col customWidth="1" min="12" max="12" width="28.0"/>
    <col customWidth="1" min="13" max="15" width="14.0"/>
    <col customWidth="1" min="16" max="16" width="18.0"/>
    <col customWidth="1" min="17" max="17" width="17.63"/>
  </cols>
  <sheetData>
    <row r="1" ht="15.75" customHeight="1">
      <c r="A1" s="1" t="s">
        <v>238</v>
      </c>
      <c r="B1" s="2"/>
      <c r="C1" s="2"/>
      <c r="D1" s="2"/>
      <c r="E1" s="3"/>
      <c r="F1" s="4" t="s">
        <v>1</v>
      </c>
      <c r="G1" s="5"/>
      <c r="H1" s="50">
        <f>M10+'Abril - 0426'!F125</f>
        <v>6722</v>
      </c>
      <c r="I1" s="167"/>
      <c r="J1" s="7"/>
      <c r="K1" s="8"/>
      <c r="L1" s="9" t="s">
        <v>2</v>
      </c>
      <c r="M1" s="2"/>
      <c r="N1" s="2"/>
      <c r="O1" s="2"/>
      <c r="P1" s="2"/>
      <c r="Q1" s="10"/>
      <c r="R1" s="11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5.75" customHeight="1">
      <c r="A2" s="13" t="s">
        <v>3</v>
      </c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68" t="s">
        <v>192</v>
      </c>
      <c r="J2" s="15" t="s">
        <v>11</v>
      </c>
      <c r="K2" s="8"/>
      <c r="L2" s="13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5" t="s">
        <v>17</v>
      </c>
      <c r="R2" s="16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</row>
    <row r="3" ht="15.75" customHeight="1">
      <c r="A3" s="54" t="s">
        <v>227</v>
      </c>
      <c r="B3" s="19"/>
      <c r="C3" s="19"/>
      <c r="D3" s="19"/>
      <c r="E3" s="19"/>
      <c r="F3" s="19"/>
      <c r="G3" s="19"/>
      <c r="H3" s="19"/>
      <c r="I3" s="19"/>
      <c r="J3" s="20"/>
      <c r="K3" s="8"/>
      <c r="L3" s="21"/>
      <c r="M3" s="22"/>
      <c r="N3" s="22"/>
      <c r="O3" s="22"/>
      <c r="P3" s="22"/>
      <c r="Q3" s="23"/>
      <c r="R3" s="11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</row>
    <row r="4" ht="15.75" customHeight="1">
      <c r="A4" s="24" t="s">
        <v>19</v>
      </c>
      <c r="B4" s="25" t="s">
        <v>20</v>
      </c>
      <c r="C4" s="25" t="s">
        <v>21</v>
      </c>
      <c r="D4" s="25" t="s">
        <v>22</v>
      </c>
      <c r="E4" s="25" t="s">
        <v>22</v>
      </c>
      <c r="F4" s="26">
        <v>65.0</v>
      </c>
      <c r="G4" s="27" t="s">
        <v>154</v>
      </c>
      <c r="H4" s="26">
        <f>H1-F4</f>
        <v>6657</v>
      </c>
      <c r="I4" s="169"/>
      <c r="J4" s="29"/>
      <c r="K4" s="8"/>
      <c r="L4" s="30" t="s">
        <v>24</v>
      </c>
      <c r="M4" s="31">
        <v>2540.0</v>
      </c>
      <c r="N4" s="31">
        <v>580.0</v>
      </c>
      <c r="O4" s="31">
        <v>264.0</v>
      </c>
      <c r="P4" s="32">
        <v>5.0</v>
      </c>
      <c r="Q4" s="33" t="s">
        <v>154</v>
      </c>
      <c r="R4" s="11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ht="15.75" customHeight="1">
      <c r="A5" s="24" t="s">
        <v>26</v>
      </c>
      <c r="B5" s="25" t="s">
        <v>27</v>
      </c>
      <c r="C5" s="25" t="s">
        <v>28</v>
      </c>
      <c r="D5" s="25" t="s">
        <v>22</v>
      </c>
      <c r="E5" s="25">
        <v>7.0</v>
      </c>
      <c r="F5" s="26">
        <v>1371.16</v>
      </c>
      <c r="G5" s="27" t="s">
        <v>154</v>
      </c>
      <c r="H5" s="26">
        <f t="shared" ref="H5:H9" si="1">H4-F5</f>
        <v>5285.84</v>
      </c>
      <c r="I5" s="169"/>
      <c r="J5" s="29"/>
      <c r="K5" s="8"/>
      <c r="L5" s="30" t="s">
        <v>29</v>
      </c>
      <c r="M5" s="31">
        <v>2000.0</v>
      </c>
      <c r="N5" s="34" t="s">
        <v>22</v>
      </c>
      <c r="O5" s="34" t="s">
        <v>22</v>
      </c>
      <c r="P5" s="32">
        <v>10.0</v>
      </c>
      <c r="Q5" s="33" t="s">
        <v>154</v>
      </c>
      <c r="R5" s="11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</row>
    <row r="6" ht="15.75" customHeight="1">
      <c r="A6" s="24" t="s">
        <v>30</v>
      </c>
      <c r="B6" s="25" t="s">
        <v>31</v>
      </c>
      <c r="C6" s="25" t="s">
        <v>28</v>
      </c>
      <c r="D6" s="25" t="s">
        <v>22</v>
      </c>
      <c r="E6" s="25">
        <v>7.0</v>
      </c>
      <c r="F6" s="26">
        <v>473.45</v>
      </c>
      <c r="G6" s="27" t="s">
        <v>154</v>
      </c>
      <c r="H6" s="26">
        <f t="shared" si="1"/>
        <v>4812.39</v>
      </c>
      <c r="I6" s="169"/>
      <c r="J6" s="29"/>
      <c r="K6" s="8"/>
      <c r="L6" s="30" t="s">
        <v>32</v>
      </c>
      <c r="M6" s="31">
        <v>400.0</v>
      </c>
      <c r="N6" s="34" t="s">
        <v>22</v>
      </c>
      <c r="O6" s="34" t="s">
        <v>22</v>
      </c>
      <c r="P6" s="32">
        <v>10.0</v>
      </c>
      <c r="Q6" s="33" t="s">
        <v>154</v>
      </c>
      <c r="R6" s="11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ht="15.75" customHeight="1">
      <c r="A7" s="24" t="s">
        <v>33</v>
      </c>
      <c r="B7" s="25" t="s">
        <v>34</v>
      </c>
      <c r="C7" s="25" t="s">
        <v>35</v>
      </c>
      <c r="D7" s="25" t="s">
        <v>22</v>
      </c>
      <c r="E7" s="25">
        <v>20.0</v>
      </c>
      <c r="F7" s="26">
        <v>127.99</v>
      </c>
      <c r="G7" s="27" t="s">
        <v>154</v>
      </c>
      <c r="H7" s="26">
        <f t="shared" si="1"/>
        <v>4684.4</v>
      </c>
      <c r="I7" s="169"/>
      <c r="J7" s="29"/>
      <c r="K7" s="188" t="s">
        <v>239</v>
      </c>
      <c r="L7" s="189" t="s">
        <v>240</v>
      </c>
      <c r="M7" s="31">
        <v>160.0</v>
      </c>
      <c r="N7" s="34" t="s">
        <v>22</v>
      </c>
      <c r="O7" s="34" t="s">
        <v>22</v>
      </c>
      <c r="P7" s="32">
        <v>10.0</v>
      </c>
      <c r="Q7" s="33" t="s">
        <v>154</v>
      </c>
      <c r="R7" s="11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</row>
    <row r="8" ht="15.75" customHeight="1">
      <c r="A8" s="24" t="s">
        <v>37</v>
      </c>
      <c r="B8" s="25" t="s">
        <v>38</v>
      </c>
      <c r="C8" s="25" t="s">
        <v>35</v>
      </c>
      <c r="D8" s="25" t="s">
        <v>22</v>
      </c>
      <c r="E8" s="25">
        <v>10.0</v>
      </c>
      <c r="F8" s="26">
        <v>40.91</v>
      </c>
      <c r="G8" s="27" t="s">
        <v>154</v>
      </c>
      <c r="H8" s="26">
        <f t="shared" si="1"/>
        <v>4643.49</v>
      </c>
      <c r="I8" s="169"/>
      <c r="J8" s="29"/>
      <c r="K8" s="8"/>
      <c r="L8" s="30" t="s">
        <v>39</v>
      </c>
      <c r="M8" s="31">
        <v>500.0</v>
      </c>
      <c r="N8" s="34" t="s">
        <v>22</v>
      </c>
      <c r="O8" s="34" t="s">
        <v>22</v>
      </c>
      <c r="P8" s="32">
        <v>10.0</v>
      </c>
      <c r="Q8" s="33" t="s">
        <v>154</v>
      </c>
      <c r="R8" s="11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</row>
    <row r="9" ht="15.75" customHeight="1">
      <c r="A9" s="24" t="s">
        <v>40</v>
      </c>
      <c r="B9" s="25" t="s">
        <v>41</v>
      </c>
      <c r="C9" s="25" t="s">
        <v>35</v>
      </c>
      <c r="D9" s="25" t="s">
        <v>22</v>
      </c>
      <c r="E9" s="25">
        <v>17.0</v>
      </c>
      <c r="F9" s="26">
        <v>99.99</v>
      </c>
      <c r="G9" s="27" t="s">
        <v>154</v>
      </c>
      <c r="H9" s="26">
        <f t="shared" si="1"/>
        <v>4543.5</v>
      </c>
      <c r="I9" s="169"/>
      <c r="J9" s="29"/>
      <c r="K9" s="8"/>
      <c r="L9" s="30" t="s">
        <v>42</v>
      </c>
      <c r="M9" s="170">
        <v>800.0</v>
      </c>
      <c r="N9" s="34" t="s">
        <v>22</v>
      </c>
      <c r="O9" s="34" t="s">
        <v>22</v>
      </c>
      <c r="P9" s="32">
        <v>15.0</v>
      </c>
      <c r="Q9" s="33" t="s">
        <v>154</v>
      </c>
      <c r="R9" s="11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</row>
    <row r="10" ht="15.75" customHeight="1">
      <c r="A10" s="18" t="s">
        <v>43</v>
      </c>
      <c r="B10" s="19"/>
      <c r="C10" s="19"/>
      <c r="D10" s="19"/>
      <c r="E10" s="19"/>
      <c r="F10" s="19"/>
      <c r="G10" s="19"/>
      <c r="H10" s="19"/>
      <c r="I10" s="19"/>
      <c r="J10" s="20"/>
      <c r="K10" s="8"/>
      <c r="L10" s="35"/>
      <c r="M10" s="36">
        <f>SUM(M4:M9)</f>
        <v>6400</v>
      </c>
      <c r="N10" s="36"/>
      <c r="O10" s="36"/>
      <c r="P10" s="37"/>
      <c r="Q10" s="23"/>
      <c r="R10" s="11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ht="15.75" customHeight="1">
      <c r="A11" s="24" t="s">
        <v>52</v>
      </c>
      <c r="B11" s="38"/>
      <c r="C11" s="38"/>
      <c r="D11" s="60" t="s">
        <v>230</v>
      </c>
      <c r="E11" s="39"/>
      <c r="F11" s="26">
        <v>286.81</v>
      </c>
      <c r="G11" s="40" t="s">
        <v>154</v>
      </c>
      <c r="H11" s="26">
        <f>H9-F11</f>
        <v>4256.69</v>
      </c>
      <c r="I11" s="175">
        <f>F11*10</f>
        <v>2868.1</v>
      </c>
      <c r="J11" s="41">
        <f>SUM(F11:F15)</f>
        <v>812.72</v>
      </c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ht="15.75" customHeight="1">
      <c r="A12" s="190" t="s">
        <v>59</v>
      </c>
      <c r="B12" s="45"/>
      <c r="C12" s="45"/>
      <c r="D12" s="191" t="s">
        <v>197</v>
      </c>
      <c r="E12" s="45"/>
      <c r="F12" s="192">
        <v>375.0</v>
      </c>
      <c r="G12" s="45"/>
      <c r="H12" s="193">
        <f t="shared" ref="H12:H15" si="2">H11-F12</f>
        <v>3881.69</v>
      </c>
      <c r="I12" s="194">
        <f>F12*2</f>
        <v>750</v>
      </c>
      <c r="J12" s="46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</row>
    <row r="13" ht="15.75" customHeight="1">
      <c r="A13" s="24" t="s">
        <v>63</v>
      </c>
      <c r="B13" s="45"/>
      <c r="C13" s="45"/>
      <c r="D13" s="60" t="s">
        <v>197</v>
      </c>
      <c r="E13" s="45"/>
      <c r="F13" s="26">
        <v>59.02</v>
      </c>
      <c r="G13" s="45"/>
      <c r="H13" s="26">
        <f t="shared" si="2"/>
        <v>3822.67</v>
      </c>
      <c r="I13" s="175">
        <f>F13*4</f>
        <v>236.08</v>
      </c>
      <c r="J13" s="46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ht="15.75" customHeight="1">
      <c r="A14" s="24" t="s">
        <v>65</v>
      </c>
      <c r="B14" s="45"/>
      <c r="C14" s="45"/>
      <c r="D14" s="60" t="s">
        <v>60</v>
      </c>
      <c r="E14" s="45"/>
      <c r="F14" s="26">
        <v>40.75</v>
      </c>
      <c r="G14" s="45"/>
      <c r="H14" s="26">
        <f t="shared" si="2"/>
        <v>3781.92</v>
      </c>
      <c r="I14" s="175">
        <f>F14*5</f>
        <v>203.75</v>
      </c>
      <c r="J14" s="46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ht="15.75" customHeight="1">
      <c r="A15" s="24" t="s">
        <v>67</v>
      </c>
      <c r="B15" s="52"/>
      <c r="C15" s="52"/>
      <c r="D15" s="60" t="s">
        <v>241</v>
      </c>
      <c r="E15" s="52"/>
      <c r="F15" s="26">
        <v>51.14</v>
      </c>
      <c r="G15" s="52"/>
      <c r="H15" s="26">
        <f t="shared" si="2"/>
        <v>3730.78</v>
      </c>
      <c r="I15" s="175">
        <f>F15*2</f>
        <v>102.28</v>
      </c>
      <c r="J15" s="53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ht="15.75" customHeight="1">
      <c r="A16" s="54" t="s">
        <v>70</v>
      </c>
      <c r="B16" s="19"/>
      <c r="C16" s="19"/>
      <c r="D16" s="19"/>
      <c r="E16" s="19"/>
      <c r="F16" s="19"/>
      <c r="G16" s="19"/>
      <c r="H16" s="19"/>
      <c r="I16" s="19"/>
      <c r="J16" s="20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ht="15.75" customHeight="1">
      <c r="A17" s="24" t="s">
        <v>71</v>
      </c>
      <c r="B17" s="38" t="s">
        <v>72</v>
      </c>
      <c r="C17" s="38" t="s">
        <v>46</v>
      </c>
      <c r="D17" s="60" t="s">
        <v>66</v>
      </c>
      <c r="E17" s="39" t="s">
        <v>74</v>
      </c>
      <c r="F17" s="26">
        <v>33.67</v>
      </c>
      <c r="G17" s="40" t="s">
        <v>154</v>
      </c>
      <c r="H17" s="26">
        <f>H15-F17</f>
        <v>3697.11</v>
      </c>
      <c r="I17" s="175">
        <f t="shared" ref="I17:I18" si="3">F17*9</f>
        <v>303.03</v>
      </c>
      <c r="J17" s="41">
        <f>SUM(F17:F18)</f>
        <v>59.67</v>
      </c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ht="15.75" customHeight="1">
      <c r="A18" s="24" t="s">
        <v>75</v>
      </c>
      <c r="B18" s="52"/>
      <c r="C18" s="52"/>
      <c r="D18" s="60" t="s">
        <v>66</v>
      </c>
      <c r="E18" s="52"/>
      <c r="F18" s="26">
        <v>26.0</v>
      </c>
      <c r="G18" s="52"/>
      <c r="H18" s="26">
        <f>H17-F18</f>
        <v>3671.11</v>
      </c>
      <c r="I18" s="175">
        <f t="shared" si="3"/>
        <v>234</v>
      </c>
      <c r="J18" s="53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ht="15.75" customHeight="1">
      <c r="A19" s="54" t="s">
        <v>76</v>
      </c>
      <c r="B19" s="19"/>
      <c r="C19" s="19"/>
      <c r="D19" s="19"/>
      <c r="E19" s="19"/>
      <c r="F19" s="19"/>
      <c r="G19" s="19"/>
      <c r="H19" s="19"/>
      <c r="I19" s="19"/>
      <c r="J19" s="20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ht="15.75" customHeight="1">
      <c r="A20" s="59" t="s">
        <v>231</v>
      </c>
      <c r="B20" s="25" t="s">
        <v>78</v>
      </c>
      <c r="C20" s="25" t="s">
        <v>46</v>
      </c>
      <c r="D20" s="25" t="s">
        <v>22</v>
      </c>
      <c r="E20" s="60" t="s">
        <v>74</v>
      </c>
      <c r="F20" s="28">
        <v>0.0</v>
      </c>
      <c r="G20" s="27" t="s">
        <v>154</v>
      </c>
      <c r="H20" s="26">
        <f>H18-F20</f>
        <v>3671.11</v>
      </c>
      <c r="I20" s="176"/>
      <c r="J20" s="177">
        <f>SUM(F20)</f>
        <v>0</v>
      </c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</row>
    <row r="21" ht="15.75" customHeight="1">
      <c r="A21" s="54" t="s">
        <v>94</v>
      </c>
      <c r="B21" s="19"/>
      <c r="C21" s="19"/>
      <c r="D21" s="19"/>
      <c r="E21" s="19"/>
      <c r="F21" s="19"/>
      <c r="G21" s="19"/>
      <c r="H21" s="19"/>
      <c r="I21" s="19"/>
      <c r="J21" s="20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ht="15.75" customHeight="1">
      <c r="A22" s="24" t="s">
        <v>112</v>
      </c>
      <c r="B22" s="38"/>
      <c r="C22" s="38"/>
      <c r="D22" s="60" t="s">
        <v>230</v>
      </c>
      <c r="E22" s="39"/>
      <c r="F22" s="26">
        <v>25.98</v>
      </c>
      <c r="G22" s="40"/>
      <c r="H22" s="26">
        <f>H20-F22</f>
        <v>3645.13</v>
      </c>
      <c r="I22" s="176">
        <f>F22*10</f>
        <v>259.8</v>
      </c>
      <c r="J22" s="195"/>
      <c r="K22" s="11"/>
      <c r="L22" s="196">
        <f>I32</f>
        <v>1454.9</v>
      </c>
      <c r="M22" s="12" t="str">
        <f>#REF!-L22</f>
        <v>#REF!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ht="15.75" customHeight="1">
      <c r="A23" s="24" t="s">
        <v>113</v>
      </c>
      <c r="B23" s="45"/>
      <c r="C23" s="45"/>
      <c r="D23" s="60" t="s">
        <v>242</v>
      </c>
      <c r="E23" s="45"/>
      <c r="F23" s="26">
        <v>143.0</v>
      </c>
      <c r="G23" s="45"/>
      <c r="H23" s="26">
        <f t="shared" ref="H23:H28" si="4">H22-F23</f>
        <v>3502.13</v>
      </c>
      <c r="I23" s="176">
        <f>F23*3</f>
        <v>429</v>
      </c>
      <c r="J23" s="46"/>
      <c r="K23" s="11"/>
      <c r="L23" s="51">
        <v>0.0</v>
      </c>
      <c r="M23" s="12" t="str">
        <f>M22-L23</f>
        <v>#REF!</v>
      </c>
      <c r="N23" s="51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ht="15.75" customHeight="1">
      <c r="A24" s="24" t="s">
        <v>115</v>
      </c>
      <c r="B24" s="45"/>
      <c r="C24" s="45"/>
      <c r="D24" s="60" t="s">
        <v>230</v>
      </c>
      <c r="E24" s="45"/>
      <c r="F24" s="26">
        <v>133.37</v>
      </c>
      <c r="G24" s="45"/>
      <c r="H24" s="26">
        <f t="shared" si="4"/>
        <v>3368.76</v>
      </c>
      <c r="I24" s="176">
        <f>F24*10</f>
        <v>1333.7</v>
      </c>
      <c r="J24" s="46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ht="15.75" customHeight="1">
      <c r="A25" s="24" t="s">
        <v>116</v>
      </c>
      <c r="B25" s="45"/>
      <c r="C25" s="45"/>
      <c r="D25" s="60" t="s">
        <v>60</v>
      </c>
      <c r="E25" s="45"/>
      <c r="F25" s="26">
        <v>133.33</v>
      </c>
      <c r="G25" s="45"/>
      <c r="H25" s="26">
        <f t="shared" si="4"/>
        <v>3235.43</v>
      </c>
      <c r="I25" s="176">
        <f>F25*5</f>
        <v>666.65</v>
      </c>
      <c r="J25" s="46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</row>
    <row r="26" ht="15.75" customHeight="1">
      <c r="A26" s="24" t="s">
        <v>118</v>
      </c>
      <c r="B26" s="45"/>
      <c r="C26" s="45"/>
      <c r="D26" s="60" t="s">
        <v>243</v>
      </c>
      <c r="E26" s="45"/>
      <c r="F26" s="26">
        <v>15.52</v>
      </c>
      <c r="G26" s="45"/>
      <c r="H26" s="26">
        <f t="shared" si="4"/>
        <v>3219.91</v>
      </c>
      <c r="I26" s="176">
        <f>F26*3</f>
        <v>46.56</v>
      </c>
      <c r="J26" s="46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</row>
    <row r="27" ht="15.75" customHeight="1">
      <c r="A27" s="24" t="s">
        <v>120</v>
      </c>
      <c r="B27" s="45"/>
      <c r="C27" s="45"/>
      <c r="D27" s="60" t="s">
        <v>60</v>
      </c>
      <c r="E27" s="45"/>
      <c r="F27" s="26">
        <v>57.99</v>
      </c>
      <c r="G27" s="45"/>
      <c r="H27" s="26">
        <f t="shared" si="4"/>
        <v>3161.92</v>
      </c>
      <c r="I27" s="176">
        <f>F27*5</f>
        <v>289.95</v>
      </c>
      <c r="J27" s="46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</row>
    <row r="28" ht="15.75" customHeight="1">
      <c r="A28" s="24" t="s">
        <v>121</v>
      </c>
      <c r="B28" s="52"/>
      <c r="C28" s="52"/>
      <c r="D28" s="60" t="s">
        <v>60</v>
      </c>
      <c r="E28" s="52"/>
      <c r="F28" s="26">
        <v>16.62</v>
      </c>
      <c r="G28" s="52"/>
      <c r="H28" s="26">
        <f t="shared" si="4"/>
        <v>3145.3</v>
      </c>
      <c r="I28" s="176">
        <f>F28+5</f>
        <v>21.62</v>
      </c>
      <c r="J28" s="53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</row>
    <row r="29" ht="15.75" customHeight="1">
      <c r="A29" s="54" t="s">
        <v>126</v>
      </c>
      <c r="B29" s="19"/>
      <c r="C29" s="19"/>
      <c r="D29" s="19"/>
      <c r="E29" s="19"/>
      <c r="F29" s="19"/>
      <c r="G29" s="19"/>
      <c r="H29" s="19"/>
      <c r="I29" s="19"/>
      <c r="J29" s="20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</row>
    <row r="30" ht="15.75" customHeight="1">
      <c r="A30" s="24" t="s">
        <v>127</v>
      </c>
      <c r="B30" s="38" t="s">
        <v>128</v>
      </c>
      <c r="C30" s="38" t="s">
        <v>46</v>
      </c>
      <c r="D30" s="60" t="s">
        <v>244</v>
      </c>
      <c r="E30" s="39" t="s">
        <v>74</v>
      </c>
      <c r="F30" s="26">
        <v>81.66</v>
      </c>
      <c r="G30" s="40" t="s">
        <v>154</v>
      </c>
      <c r="H30" s="26">
        <f>H28-F30</f>
        <v>3063.64</v>
      </c>
      <c r="I30" s="176">
        <f>F30*8</f>
        <v>653.28</v>
      </c>
      <c r="J30" s="55">
        <f>SUM(F30:F32)</f>
        <v>285.14</v>
      </c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</row>
    <row r="31" ht="15.75" customHeight="1">
      <c r="A31" s="24" t="s">
        <v>120</v>
      </c>
      <c r="B31" s="45"/>
      <c r="C31" s="45"/>
      <c r="D31" s="60" t="s">
        <v>60</v>
      </c>
      <c r="E31" s="45"/>
      <c r="F31" s="26">
        <v>57.99</v>
      </c>
      <c r="G31" s="45"/>
      <c r="H31" s="26">
        <f t="shared" ref="H31:H32" si="5">H30-F31</f>
        <v>3005.65</v>
      </c>
      <c r="I31" s="176">
        <f>F31*5</f>
        <v>289.95</v>
      </c>
      <c r="J31" s="46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 ht="15.75" customHeight="1">
      <c r="A32" s="197" t="s">
        <v>131</v>
      </c>
      <c r="B32" s="52"/>
      <c r="C32" s="52"/>
      <c r="D32" s="198" t="s">
        <v>230</v>
      </c>
      <c r="E32" s="52"/>
      <c r="F32" s="199">
        <v>145.49</v>
      </c>
      <c r="G32" s="52"/>
      <c r="H32" s="200">
        <f t="shared" si="5"/>
        <v>2860.16</v>
      </c>
      <c r="I32" s="201">
        <f>F32*10</f>
        <v>1454.9</v>
      </c>
      <c r="J32" s="53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 ht="15.75" customHeight="1">
      <c r="A33" s="54" t="s">
        <v>132</v>
      </c>
      <c r="B33" s="19"/>
      <c r="C33" s="19"/>
      <c r="D33" s="19"/>
      <c r="E33" s="19"/>
      <c r="F33" s="19"/>
      <c r="G33" s="19"/>
      <c r="H33" s="19"/>
      <c r="I33" s="19"/>
      <c r="J33" s="20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 ht="15.75" customHeight="1">
      <c r="A34" s="59" t="s">
        <v>213</v>
      </c>
      <c r="B34" s="38" t="s">
        <v>133</v>
      </c>
      <c r="C34" s="38" t="s">
        <v>46</v>
      </c>
      <c r="D34" s="60" t="s">
        <v>230</v>
      </c>
      <c r="E34" s="39" t="s">
        <v>134</v>
      </c>
      <c r="F34" s="57">
        <v>68.42</v>
      </c>
      <c r="G34" s="40" t="s">
        <v>154</v>
      </c>
      <c r="H34" s="26">
        <f>H32-F34</f>
        <v>2791.74</v>
      </c>
      <c r="I34" s="176">
        <f t="shared" ref="I34:I36" si="6">F34*10</f>
        <v>684.2</v>
      </c>
      <c r="J34" s="58">
        <f>SUM(F34:F36)</f>
        <v>136.22</v>
      </c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 ht="15.75" customHeight="1">
      <c r="A35" s="59" t="s">
        <v>214</v>
      </c>
      <c r="B35" s="45"/>
      <c r="C35" s="45"/>
      <c r="D35" s="60" t="s">
        <v>230</v>
      </c>
      <c r="E35" s="45"/>
      <c r="F35" s="57">
        <v>40.68</v>
      </c>
      <c r="G35" s="45"/>
      <c r="H35" s="26">
        <f t="shared" ref="H35:H41" si="7">H34-F35</f>
        <v>2751.06</v>
      </c>
      <c r="I35" s="176">
        <f t="shared" si="6"/>
        <v>406.8</v>
      </c>
      <c r="J35" s="46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ht="15.75" customHeight="1">
      <c r="A36" s="59" t="s">
        <v>215</v>
      </c>
      <c r="B36" s="45"/>
      <c r="C36" s="45"/>
      <c r="D36" s="60" t="s">
        <v>230</v>
      </c>
      <c r="E36" s="45"/>
      <c r="F36" s="57">
        <v>27.12</v>
      </c>
      <c r="G36" s="45"/>
      <c r="H36" s="26">
        <f t="shared" si="7"/>
        <v>2723.94</v>
      </c>
      <c r="I36" s="176">
        <f t="shared" si="6"/>
        <v>271.2</v>
      </c>
      <c r="J36" s="46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 ht="15.75" customHeight="1">
      <c r="A37" s="59" t="s">
        <v>218</v>
      </c>
      <c r="B37" s="45"/>
      <c r="C37" s="45"/>
      <c r="D37" s="60" t="s">
        <v>196</v>
      </c>
      <c r="E37" s="45"/>
      <c r="F37" s="57">
        <v>9.62</v>
      </c>
      <c r="G37" s="45"/>
      <c r="H37" s="26">
        <f t="shared" si="7"/>
        <v>2714.32</v>
      </c>
      <c r="I37" s="176">
        <f>F37*2</f>
        <v>19.24</v>
      </c>
      <c r="J37" s="46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 ht="15.75" customHeight="1">
      <c r="A38" s="59" t="s">
        <v>219</v>
      </c>
      <c r="B38" s="45"/>
      <c r="C38" s="45"/>
      <c r="D38" s="60" t="s">
        <v>245</v>
      </c>
      <c r="E38" s="45"/>
      <c r="F38" s="57">
        <v>7.56</v>
      </c>
      <c r="G38" s="45"/>
      <c r="H38" s="26">
        <f t="shared" si="7"/>
        <v>2706.76</v>
      </c>
      <c r="I38" s="176">
        <f>F38*3</f>
        <v>22.68</v>
      </c>
      <c r="J38" s="46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</row>
    <row r="39" ht="15.75" customHeight="1">
      <c r="A39" s="59" t="s">
        <v>221</v>
      </c>
      <c r="B39" s="45"/>
      <c r="C39" s="45"/>
      <c r="D39" s="60" t="s">
        <v>196</v>
      </c>
      <c r="E39" s="45"/>
      <c r="F39" s="57">
        <v>6.68</v>
      </c>
      <c r="G39" s="45"/>
      <c r="H39" s="26">
        <f t="shared" si="7"/>
        <v>2700.08</v>
      </c>
      <c r="I39" s="176">
        <f t="shared" ref="I39:I40" si="8">F39*2</f>
        <v>13.36</v>
      </c>
      <c r="J39" s="46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</row>
    <row r="40" ht="15.75" customHeight="1">
      <c r="A40" s="59" t="s">
        <v>222</v>
      </c>
      <c r="B40" s="45"/>
      <c r="C40" s="45"/>
      <c r="D40" s="60" t="s">
        <v>196</v>
      </c>
      <c r="E40" s="45"/>
      <c r="F40" s="57">
        <v>26.05</v>
      </c>
      <c r="G40" s="45"/>
      <c r="H40" s="26">
        <f t="shared" si="7"/>
        <v>2674.03</v>
      </c>
      <c r="I40" s="176">
        <f t="shared" si="8"/>
        <v>52.1</v>
      </c>
      <c r="J40" s="46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  <row r="41" ht="15.75" customHeight="1">
      <c r="A41" s="59" t="s">
        <v>225</v>
      </c>
      <c r="B41" s="52"/>
      <c r="C41" s="52"/>
      <c r="D41" s="60" t="s">
        <v>200</v>
      </c>
      <c r="E41" s="52"/>
      <c r="F41" s="57">
        <v>57.86</v>
      </c>
      <c r="G41" s="52"/>
      <c r="H41" s="26">
        <f t="shared" si="7"/>
        <v>2616.17</v>
      </c>
      <c r="I41" s="176">
        <f>F41*10</f>
        <v>578.6</v>
      </c>
      <c r="J41" s="53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</row>
    <row r="42" ht="15.75" customHeight="1">
      <c r="A42" s="54" t="s">
        <v>138</v>
      </c>
      <c r="B42" s="19"/>
      <c r="C42" s="19"/>
      <c r="D42" s="19"/>
      <c r="E42" s="19"/>
      <c r="F42" s="19"/>
      <c r="G42" s="19"/>
      <c r="H42" s="19"/>
      <c r="I42" s="19"/>
      <c r="J42" s="20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</row>
    <row r="43" ht="15.75" customHeight="1">
      <c r="A43" s="24" t="s">
        <v>139</v>
      </c>
      <c r="B43" s="25" t="s">
        <v>140</v>
      </c>
      <c r="C43" s="25" t="s">
        <v>35</v>
      </c>
      <c r="D43" s="25" t="s">
        <v>22</v>
      </c>
      <c r="E43" s="60" t="s">
        <v>74</v>
      </c>
      <c r="F43" s="26">
        <v>856.34</v>
      </c>
      <c r="G43" s="27" t="s">
        <v>154</v>
      </c>
      <c r="H43" s="26">
        <f>H41-F43</f>
        <v>1759.83</v>
      </c>
      <c r="I43" s="169"/>
      <c r="J43" s="29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</row>
    <row r="44" ht="15.75" customHeight="1">
      <c r="A44" s="59" t="s">
        <v>141</v>
      </c>
      <c r="B44" s="60" t="s">
        <v>22</v>
      </c>
      <c r="C44" s="62"/>
      <c r="D44" s="60"/>
      <c r="E44" s="60" t="s">
        <v>22</v>
      </c>
      <c r="F44" s="28">
        <v>90.0</v>
      </c>
      <c r="G44" s="27" t="s">
        <v>154</v>
      </c>
      <c r="H44" s="28">
        <f t="shared" ref="H44:H49" si="9">H43-F44</f>
        <v>1669.83</v>
      </c>
      <c r="I44" s="169"/>
      <c r="J44" s="29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</row>
    <row r="45" ht="15.75" customHeight="1">
      <c r="A45" s="59" t="s">
        <v>152</v>
      </c>
      <c r="B45" s="60" t="s">
        <v>22</v>
      </c>
      <c r="C45" s="25" t="s">
        <v>148</v>
      </c>
      <c r="D45" s="60" t="s">
        <v>22</v>
      </c>
      <c r="E45" s="60" t="s">
        <v>22</v>
      </c>
      <c r="F45" s="57">
        <v>150.0</v>
      </c>
      <c r="G45" s="27" t="s">
        <v>154</v>
      </c>
      <c r="H45" s="28">
        <f t="shared" si="9"/>
        <v>1519.83</v>
      </c>
      <c r="I45" s="169"/>
      <c r="J45" s="29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</row>
    <row r="46" ht="15.75" customHeight="1">
      <c r="A46" s="24" t="s">
        <v>142</v>
      </c>
      <c r="B46" s="25" t="s">
        <v>143</v>
      </c>
      <c r="C46" s="62" t="s">
        <v>144</v>
      </c>
      <c r="D46" s="60" t="s">
        <v>22</v>
      </c>
      <c r="E46" s="60" t="s">
        <v>145</v>
      </c>
      <c r="F46" s="26">
        <v>40.9</v>
      </c>
      <c r="G46" s="27" t="s">
        <v>154</v>
      </c>
      <c r="H46" s="26">
        <f t="shared" si="9"/>
        <v>1478.93</v>
      </c>
      <c r="I46" s="169"/>
      <c r="J46" s="29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</row>
    <row r="47" ht="15.75" customHeight="1">
      <c r="A47" s="24" t="s">
        <v>146</v>
      </c>
      <c r="B47" s="25" t="s">
        <v>147</v>
      </c>
      <c r="C47" s="25" t="s">
        <v>148</v>
      </c>
      <c r="D47" s="60" t="s">
        <v>22</v>
      </c>
      <c r="E47" s="27" t="s">
        <v>74</v>
      </c>
      <c r="F47" s="26">
        <v>100.0</v>
      </c>
      <c r="G47" s="27" t="s">
        <v>154</v>
      </c>
      <c r="H47" s="26">
        <f t="shared" si="9"/>
        <v>1378.93</v>
      </c>
      <c r="I47" s="169"/>
      <c r="J47" s="29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</row>
    <row r="48" ht="15.75" customHeight="1">
      <c r="A48" s="24" t="s">
        <v>189</v>
      </c>
      <c r="B48" s="25" t="s">
        <v>109</v>
      </c>
      <c r="C48" s="25" t="s">
        <v>148</v>
      </c>
      <c r="D48" s="60" t="s">
        <v>22</v>
      </c>
      <c r="E48" s="60" t="s">
        <v>22</v>
      </c>
      <c r="F48" s="56">
        <f>14*22</f>
        <v>308</v>
      </c>
      <c r="G48" s="27" t="s">
        <v>154</v>
      </c>
      <c r="H48" s="26">
        <f t="shared" si="9"/>
        <v>1070.93</v>
      </c>
      <c r="I48" s="169"/>
      <c r="J48" s="29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</row>
    <row r="49" ht="15.75" customHeight="1">
      <c r="A49" s="24" t="s">
        <v>150</v>
      </c>
      <c r="B49" s="25" t="s">
        <v>151</v>
      </c>
      <c r="C49" s="25" t="s">
        <v>148</v>
      </c>
      <c r="D49" s="60" t="s">
        <v>22</v>
      </c>
      <c r="E49" s="60" t="s">
        <v>22</v>
      </c>
      <c r="F49" s="56">
        <f>80*2</f>
        <v>160</v>
      </c>
      <c r="G49" s="27" t="s">
        <v>154</v>
      </c>
      <c r="H49" s="26">
        <f t="shared" si="9"/>
        <v>910.93</v>
      </c>
      <c r="I49" s="169"/>
      <c r="J49" s="29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</row>
    <row r="50" ht="15.75" customHeight="1">
      <c r="A50" s="54" t="s">
        <v>155</v>
      </c>
      <c r="B50" s="19"/>
      <c r="C50" s="19"/>
      <c r="D50" s="19"/>
      <c r="E50" s="19"/>
      <c r="F50" s="19"/>
      <c r="G50" s="19"/>
      <c r="H50" s="19"/>
      <c r="I50" s="19"/>
      <c r="J50" s="20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</row>
    <row r="51" ht="15.75" customHeight="1">
      <c r="A51" s="59" t="s">
        <v>156</v>
      </c>
      <c r="B51" s="25" t="s">
        <v>157</v>
      </c>
      <c r="C51" s="25" t="s">
        <v>148</v>
      </c>
      <c r="D51" s="60" t="s">
        <v>22</v>
      </c>
      <c r="E51" s="60" t="s">
        <v>22</v>
      </c>
      <c r="F51" s="28">
        <v>130.0</v>
      </c>
      <c r="G51" s="27" t="s">
        <v>154</v>
      </c>
      <c r="H51" s="26">
        <f>H49-F51</f>
        <v>780.93</v>
      </c>
      <c r="I51" s="169"/>
      <c r="J51" s="29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 ht="15.75" customHeight="1">
      <c r="A52" s="59" t="s">
        <v>158</v>
      </c>
      <c r="B52" s="25" t="s">
        <v>109</v>
      </c>
      <c r="C52" s="25" t="s">
        <v>148</v>
      </c>
      <c r="D52" s="60" t="s">
        <v>22</v>
      </c>
      <c r="E52" s="60" t="s">
        <v>22</v>
      </c>
      <c r="F52" s="28">
        <f>8*60</f>
        <v>480</v>
      </c>
      <c r="G52" s="27" t="s">
        <v>154</v>
      </c>
      <c r="H52" s="26">
        <f t="shared" ref="H52:H54" si="10">H51-F52</f>
        <v>300.93</v>
      </c>
      <c r="I52" s="169"/>
      <c r="J52" s="29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</row>
    <row r="53" ht="15.75" customHeight="1">
      <c r="A53" s="59" t="s">
        <v>159</v>
      </c>
      <c r="B53" s="60" t="s">
        <v>160</v>
      </c>
      <c r="C53" s="25" t="s">
        <v>148</v>
      </c>
      <c r="D53" s="60" t="s">
        <v>22</v>
      </c>
      <c r="E53" s="60" t="s">
        <v>22</v>
      </c>
      <c r="F53" s="28">
        <f>30*10</f>
        <v>300</v>
      </c>
      <c r="G53" s="27" t="s">
        <v>154</v>
      </c>
      <c r="H53" s="26">
        <f t="shared" si="10"/>
        <v>0.93</v>
      </c>
      <c r="I53" s="169"/>
      <c r="J53" s="29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</row>
    <row r="54" ht="15.75" customHeight="1">
      <c r="A54" s="59" t="s">
        <v>161</v>
      </c>
      <c r="B54" s="60" t="s">
        <v>22</v>
      </c>
      <c r="C54" s="25" t="s">
        <v>148</v>
      </c>
      <c r="D54" s="60" t="s">
        <v>22</v>
      </c>
      <c r="E54" s="60" t="s">
        <v>22</v>
      </c>
      <c r="F54" s="28">
        <v>0.0</v>
      </c>
      <c r="G54" s="27" t="s">
        <v>154</v>
      </c>
      <c r="H54" s="28">
        <f t="shared" si="10"/>
        <v>0.93</v>
      </c>
      <c r="I54" s="169"/>
      <c r="J54" s="29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</row>
    <row r="55" ht="15.75" customHeight="1">
      <c r="A55" s="63" t="s">
        <v>162</v>
      </c>
      <c r="B55" s="64"/>
      <c r="C55" s="64"/>
      <c r="D55" s="64"/>
      <c r="E55" s="65"/>
      <c r="F55" s="186">
        <f>H53</f>
        <v>0.93</v>
      </c>
      <c r="G55" s="23"/>
      <c r="H55" s="23"/>
      <c r="I55" s="202">
        <f>I11+I12+I13+I14+I15+I17+I18+I22+I23+I24+I25+I26+I27+I28+I30+I31+I32+I34+I35+I36+I37+I38+I39+I40+I41</f>
        <v>12190.83</v>
      </c>
      <c r="J55" s="23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</row>
    <row r="56" ht="15.75" customHeight="1">
      <c r="A56" s="12"/>
      <c r="B56" s="12"/>
      <c r="C56" s="12"/>
      <c r="D56" s="12"/>
      <c r="E56" s="12"/>
      <c r="F56" s="12"/>
      <c r="G56" s="12"/>
      <c r="H56" s="51"/>
      <c r="I56" s="12"/>
      <c r="J56" s="12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</row>
    <row r="57" ht="15.75" customHeight="1">
      <c r="A57" s="67" t="s">
        <v>163</v>
      </c>
      <c r="B57" s="68"/>
      <c r="C57" s="69">
        <f>F55</f>
        <v>0.93</v>
      </c>
      <c r="D57" s="70" t="s">
        <v>164</v>
      </c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</row>
    <row r="58" ht="15.75" customHeight="1">
      <c r="A58" s="72" t="s">
        <v>165</v>
      </c>
      <c r="B58" s="19"/>
      <c r="C58" s="19"/>
      <c r="D58" s="20"/>
      <c r="E58" s="11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</row>
    <row r="59" ht="15.75" customHeight="1">
      <c r="A59" s="30" t="s">
        <v>167</v>
      </c>
      <c r="B59" s="73">
        <v>0.0</v>
      </c>
      <c r="C59" s="73">
        <f>C57-B59</f>
        <v>0.93</v>
      </c>
      <c r="D59" s="74" t="b">
        <v>0</v>
      </c>
      <c r="E59" s="11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 ht="15.75" customHeight="1">
      <c r="A60" s="30" t="s">
        <v>169</v>
      </c>
      <c r="B60" s="73">
        <v>0.0</v>
      </c>
      <c r="C60" s="73">
        <f>C59-B60</f>
        <v>0.93</v>
      </c>
      <c r="D60" s="74" t="b">
        <v>0</v>
      </c>
      <c r="E60" s="11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ht="15.75" customHeight="1">
      <c r="A61" s="76" t="s">
        <v>171</v>
      </c>
      <c r="B61" s="19"/>
      <c r="C61" s="19"/>
      <c r="D61" s="20"/>
      <c r="E61" s="11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ht="15.75" customHeight="1">
      <c r="A62" s="30" t="s">
        <v>173</v>
      </c>
      <c r="B62" s="73">
        <v>0.0</v>
      </c>
      <c r="C62" s="73">
        <f>C61-B62</f>
        <v>0</v>
      </c>
      <c r="D62" s="74" t="b">
        <v>0</v>
      </c>
      <c r="E62" s="11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</row>
    <row r="63" ht="15.75" customHeight="1">
      <c r="A63" s="30" t="s">
        <v>174</v>
      </c>
      <c r="B63" s="73">
        <v>0.0</v>
      </c>
      <c r="C63" s="73">
        <f>C61-B63</f>
        <v>0</v>
      </c>
      <c r="D63" s="74" t="b">
        <v>0</v>
      </c>
      <c r="E63" s="11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</row>
    <row r="64" ht="15.75" customHeight="1">
      <c r="A64" s="76" t="s">
        <v>175</v>
      </c>
      <c r="B64" s="19"/>
      <c r="C64" s="19"/>
      <c r="D64" s="20"/>
      <c r="E64" s="11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</row>
    <row r="65" ht="15.75" customHeight="1">
      <c r="A65" s="30" t="s">
        <v>176</v>
      </c>
      <c r="B65" s="73">
        <v>0.0</v>
      </c>
      <c r="C65" s="73">
        <f>C63-B65</f>
        <v>0</v>
      </c>
      <c r="D65" s="74" t="b">
        <v>0</v>
      </c>
      <c r="E65" s="11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</row>
    <row r="66" ht="15.75" customHeight="1">
      <c r="A66" s="30" t="s">
        <v>177</v>
      </c>
      <c r="B66" s="73">
        <v>0.0</v>
      </c>
      <c r="C66" s="73">
        <f>C65-B66</f>
        <v>0</v>
      </c>
      <c r="D66" s="74" t="b">
        <v>0</v>
      </c>
      <c r="E66" s="11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</row>
    <row r="67" ht="15.75" customHeight="1">
      <c r="A67" s="76" t="s">
        <v>178</v>
      </c>
      <c r="B67" s="19"/>
      <c r="C67" s="19"/>
      <c r="D67" s="20"/>
      <c r="E67" s="11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</row>
    <row r="68" ht="15.75" customHeight="1">
      <c r="A68" s="30" t="s">
        <v>179</v>
      </c>
      <c r="B68" s="73">
        <v>0.0</v>
      </c>
      <c r="C68" s="73">
        <f>C67-B68</f>
        <v>0</v>
      </c>
      <c r="D68" s="74" t="b">
        <v>0</v>
      </c>
      <c r="E68" s="11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</row>
    <row r="69" ht="15.75" customHeight="1">
      <c r="A69" s="30" t="s">
        <v>180</v>
      </c>
      <c r="B69" s="73">
        <v>0.0</v>
      </c>
      <c r="C69" s="73">
        <f>C67-B69</f>
        <v>0</v>
      </c>
      <c r="D69" s="74" t="b">
        <v>0</v>
      </c>
      <c r="E69" s="11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</row>
    <row r="70" ht="15.75" customHeight="1">
      <c r="A70" s="30" t="s">
        <v>181</v>
      </c>
      <c r="B70" s="73">
        <v>0.0</v>
      </c>
      <c r="C70" s="73">
        <f>C69-B70</f>
        <v>0</v>
      </c>
      <c r="D70" s="74" t="b">
        <v>0</v>
      </c>
      <c r="E70" s="11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 ht="15.75" customHeight="1">
      <c r="A71" s="30" t="s">
        <v>182</v>
      </c>
      <c r="B71" s="73">
        <v>0.0</v>
      </c>
      <c r="C71" s="73">
        <f>C69-B71</f>
        <v>0</v>
      </c>
      <c r="D71" s="74" t="b">
        <v>0</v>
      </c>
      <c r="E71" s="11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</row>
    <row r="72" ht="15.75" customHeight="1">
      <c r="A72" s="30" t="s">
        <v>183</v>
      </c>
      <c r="B72" s="73">
        <v>0.0</v>
      </c>
      <c r="C72" s="73">
        <f>C71-B72</f>
        <v>0</v>
      </c>
      <c r="D72" s="74" t="b">
        <v>0</v>
      </c>
      <c r="E72" s="11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</row>
    <row r="73" ht="15.75" customHeight="1">
      <c r="A73" s="30" t="s">
        <v>184</v>
      </c>
      <c r="B73" s="73">
        <v>0.0</v>
      </c>
      <c r="C73" s="73">
        <f>C71-B73</f>
        <v>0</v>
      </c>
      <c r="D73" s="74" t="b">
        <v>0</v>
      </c>
      <c r="E73" s="11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</row>
    <row r="74" ht="15.75" customHeight="1">
      <c r="A74" s="30" t="s">
        <v>185</v>
      </c>
      <c r="B74" s="73">
        <v>0.0</v>
      </c>
      <c r="C74" s="73">
        <f>C73-B74</f>
        <v>0</v>
      </c>
      <c r="D74" s="74" t="b">
        <v>0</v>
      </c>
      <c r="E74" s="11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</row>
    <row r="75" ht="15.75" customHeight="1">
      <c r="A75" s="78" t="s">
        <v>186</v>
      </c>
      <c r="B75" s="79">
        <v>0.0</v>
      </c>
      <c r="C75" s="79">
        <f>C73-B75</f>
        <v>0</v>
      </c>
      <c r="D75" s="80" t="b">
        <v>0</v>
      </c>
      <c r="E75" s="11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</row>
    <row r="76" ht="15.75" customHeight="1">
      <c r="A76" s="81"/>
      <c r="B76" s="47"/>
      <c r="C76" s="47"/>
      <c r="D76" s="47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</row>
    <row r="77" ht="15.75" customHeight="1">
      <c r="A77" s="8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</row>
    <row r="78" ht="15.75" customHeight="1">
      <c r="A78" s="8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</row>
    <row r="79" ht="15.75" customHeight="1">
      <c r="A79" s="8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</row>
    <row r="80" ht="15.75" customHeight="1">
      <c r="A80" s="8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ht="15.75" customHeight="1">
      <c r="A81" s="8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</row>
    <row r="82" ht="15.75" customHeight="1">
      <c r="A82" s="8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</row>
    <row r="83" ht="15.75" customHeight="1">
      <c r="A83" s="8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</row>
    <row r="84" ht="15.75" customHeight="1">
      <c r="A84" s="8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</row>
    <row r="85" ht="15.75" customHeight="1">
      <c r="A85" s="8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</row>
    <row r="86" ht="15.75" customHeight="1">
      <c r="A86" s="8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</row>
    <row r="87" ht="15.75" customHeight="1">
      <c r="A87" s="8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</row>
    <row r="88" ht="15.75" customHeight="1">
      <c r="A88" s="8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</row>
    <row r="89" ht="15.75" customHeight="1">
      <c r="A89" s="8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</row>
    <row r="90" ht="15.75" customHeight="1">
      <c r="A90" s="8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</row>
    <row r="91" ht="15.75" customHeight="1">
      <c r="A91" s="8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</row>
    <row r="92" ht="15.75" customHeight="1">
      <c r="A92" s="8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</row>
    <row r="93" ht="15.75" customHeight="1">
      <c r="A93" s="8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</row>
    <row r="94" ht="15.75" customHeight="1">
      <c r="A94" s="8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</row>
    <row r="95" ht="15.75" customHeight="1">
      <c r="A95" s="8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 ht="15.75" customHeight="1">
      <c r="A96" s="8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</row>
    <row r="97" ht="15.75" customHeight="1">
      <c r="A97" s="8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</sheetData>
  <mergeCells count="42">
    <mergeCell ref="A1:E1"/>
    <mergeCell ref="L1:Q1"/>
    <mergeCell ref="A3:J3"/>
    <mergeCell ref="A10:J10"/>
    <mergeCell ref="C11:C15"/>
    <mergeCell ref="E11:E15"/>
    <mergeCell ref="A16:J16"/>
    <mergeCell ref="B22:B28"/>
    <mergeCell ref="B30:B32"/>
    <mergeCell ref="C30:C32"/>
    <mergeCell ref="E30:E32"/>
    <mergeCell ref="B34:B41"/>
    <mergeCell ref="C34:C41"/>
    <mergeCell ref="E34:E41"/>
    <mergeCell ref="B11:B15"/>
    <mergeCell ref="B17:B18"/>
    <mergeCell ref="C17:C18"/>
    <mergeCell ref="E17:E18"/>
    <mergeCell ref="C22:C28"/>
    <mergeCell ref="E22:E28"/>
    <mergeCell ref="G22:G28"/>
    <mergeCell ref="J30:J32"/>
    <mergeCell ref="J34:J41"/>
    <mergeCell ref="G11:G15"/>
    <mergeCell ref="J11:J15"/>
    <mergeCell ref="G17:G18"/>
    <mergeCell ref="J17:J18"/>
    <mergeCell ref="J22:J28"/>
    <mergeCell ref="G30:G32"/>
    <mergeCell ref="G34:G41"/>
    <mergeCell ref="A57:B57"/>
    <mergeCell ref="A58:D58"/>
    <mergeCell ref="A61:D61"/>
    <mergeCell ref="A64:D64"/>
    <mergeCell ref="A67:D67"/>
    <mergeCell ref="A19:J19"/>
    <mergeCell ref="A21:J21"/>
    <mergeCell ref="A29:J29"/>
    <mergeCell ref="A33:J33"/>
    <mergeCell ref="A42:J42"/>
    <mergeCell ref="A50:J50"/>
    <mergeCell ref="A55:E55"/>
  </mergeCells>
  <conditionalFormatting sqref="Q4:Q9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G4:G9 G11 G17 G20 G30 G34 G43:G49 G51:G54">
      <formula1>"Pago,Pendente"</formula1>
    </dataValidation>
    <dataValidation type="list" allowBlank="1" showErrorMessage="1" sqref="Q4:Q9">
      <formula1>"Recebido,Pendente"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1.63"/>
    <col customWidth="1" min="2" max="2" width="18.0"/>
    <col customWidth="1" min="3" max="3" width="16.0"/>
    <col customWidth="1" min="4" max="4" width="14.0"/>
    <col customWidth="1" min="5" max="5" width="12.0"/>
    <col customWidth="1" min="6" max="6" width="14.0"/>
    <col customWidth="1" min="7" max="7" width="12.75"/>
    <col customWidth="1" min="8" max="10" width="16.0"/>
    <col customWidth="1" min="11" max="11" width="9.13"/>
    <col customWidth="1" min="12" max="12" width="28.0"/>
    <col customWidth="1" min="13" max="15" width="14.0"/>
    <col customWidth="1" min="16" max="16" width="18.0"/>
    <col customWidth="1" min="17" max="17" width="17.63"/>
  </cols>
  <sheetData>
    <row r="1" ht="15.75" customHeight="1">
      <c r="A1" s="1" t="s">
        <v>246</v>
      </c>
      <c r="B1" s="2"/>
      <c r="C1" s="2"/>
      <c r="D1" s="2"/>
      <c r="E1" s="3"/>
      <c r="F1" s="4" t="s">
        <v>1</v>
      </c>
      <c r="G1" s="5"/>
      <c r="H1" s="50">
        <f>M9+'Abril - 0426'!E125</f>
        <v>6538.16</v>
      </c>
      <c r="I1" s="167"/>
      <c r="J1" s="7"/>
      <c r="K1" s="8"/>
      <c r="L1" s="9" t="s">
        <v>2</v>
      </c>
      <c r="M1" s="2"/>
      <c r="N1" s="2"/>
      <c r="O1" s="2"/>
      <c r="P1" s="2"/>
      <c r="Q1" s="10"/>
      <c r="R1" s="11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5.75" customHeight="1">
      <c r="A2" s="13" t="s">
        <v>3</v>
      </c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68" t="s">
        <v>192</v>
      </c>
      <c r="J2" s="15" t="s">
        <v>11</v>
      </c>
      <c r="K2" s="8"/>
      <c r="L2" s="13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5" t="s">
        <v>17</v>
      </c>
      <c r="R2" s="16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</row>
    <row r="3" ht="15.75" customHeight="1">
      <c r="A3" s="54" t="s">
        <v>227</v>
      </c>
      <c r="B3" s="19"/>
      <c r="C3" s="19"/>
      <c r="D3" s="19"/>
      <c r="E3" s="19"/>
      <c r="F3" s="19"/>
      <c r="G3" s="19"/>
      <c r="H3" s="19"/>
      <c r="I3" s="19"/>
      <c r="J3" s="20"/>
      <c r="K3" s="8"/>
      <c r="L3" s="21"/>
      <c r="M3" s="22"/>
      <c r="N3" s="22"/>
      <c r="O3" s="22"/>
      <c r="P3" s="22"/>
      <c r="Q3" s="23"/>
      <c r="R3" s="11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</row>
    <row r="4" ht="15.75" customHeight="1">
      <c r="A4" s="24" t="s">
        <v>19</v>
      </c>
      <c r="B4" s="25" t="s">
        <v>20</v>
      </c>
      <c r="C4" s="25" t="s">
        <v>21</v>
      </c>
      <c r="D4" s="25" t="s">
        <v>22</v>
      </c>
      <c r="E4" s="25" t="s">
        <v>22</v>
      </c>
      <c r="F4" s="26">
        <v>65.0</v>
      </c>
      <c r="G4" s="27" t="s">
        <v>154</v>
      </c>
      <c r="H4" s="26">
        <f>H1-F4</f>
        <v>6473.16</v>
      </c>
      <c r="I4" s="169"/>
      <c r="J4" s="29"/>
      <c r="K4" s="8"/>
      <c r="L4" s="30" t="s">
        <v>24</v>
      </c>
      <c r="M4" s="31">
        <v>2540.0</v>
      </c>
      <c r="N4" s="31">
        <v>580.0</v>
      </c>
      <c r="O4" s="31">
        <v>264.0</v>
      </c>
      <c r="P4" s="32">
        <v>5.0</v>
      </c>
      <c r="Q4" s="33" t="s">
        <v>154</v>
      </c>
      <c r="R4" s="11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ht="15.75" customHeight="1">
      <c r="A5" s="24" t="s">
        <v>26</v>
      </c>
      <c r="B5" s="25" t="s">
        <v>27</v>
      </c>
      <c r="C5" s="25" t="s">
        <v>28</v>
      </c>
      <c r="D5" s="25" t="s">
        <v>22</v>
      </c>
      <c r="E5" s="25">
        <v>7.0</v>
      </c>
      <c r="F5" s="26">
        <v>1371.16</v>
      </c>
      <c r="G5" s="27" t="s">
        <v>154</v>
      </c>
      <c r="H5" s="26">
        <f t="shared" ref="H5:H9" si="1">H4-F5</f>
        <v>5102</v>
      </c>
      <c r="I5" s="169"/>
      <c r="J5" s="29"/>
      <c r="K5" s="8"/>
      <c r="L5" s="30" t="s">
        <v>29</v>
      </c>
      <c r="M5" s="31">
        <v>2000.0</v>
      </c>
      <c r="N5" s="34" t="s">
        <v>22</v>
      </c>
      <c r="O5" s="34" t="s">
        <v>22</v>
      </c>
      <c r="P5" s="32">
        <v>10.0</v>
      </c>
      <c r="Q5" s="33" t="s">
        <v>154</v>
      </c>
      <c r="R5" s="11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</row>
    <row r="6" ht="15.75" customHeight="1">
      <c r="A6" s="24" t="s">
        <v>30</v>
      </c>
      <c r="B6" s="25" t="s">
        <v>31</v>
      </c>
      <c r="C6" s="25" t="s">
        <v>28</v>
      </c>
      <c r="D6" s="25" t="s">
        <v>22</v>
      </c>
      <c r="E6" s="25">
        <v>7.0</v>
      </c>
      <c r="F6" s="26">
        <v>473.45</v>
      </c>
      <c r="G6" s="27" t="s">
        <v>154</v>
      </c>
      <c r="H6" s="26">
        <f t="shared" si="1"/>
        <v>4628.55</v>
      </c>
      <c r="I6" s="169"/>
      <c r="J6" s="29"/>
      <c r="K6" s="8"/>
      <c r="L6" s="30" t="s">
        <v>32</v>
      </c>
      <c r="M6" s="31">
        <v>400.0</v>
      </c>
      <c r="N6" s="34" t="s">
        <v>22</v>
      </c>
      <c r="O6" s="34" t="s">
        <v>22</v>
      </c>
      <c r="P6" s="32">
        <v>10.0</v>
      </c>
      <c r="Q6" s="33" t="s">
        <v>154</v>
      </c>
      <c r="R6" s="11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ht="15.75" customHeight="1">
      <c r="A7" s="24" t="s">
        <v>33</v>
      </c>
      <c r="B7" s="25" t="s">
        <v>34</v>
      </c>
      <c r="C7" s="25" t="s">
        <v>35</v>
      </c>
      <c r="D7" s="25" t="s">
        <v>22</v>
      </c>
      <c r="E7" s="25">
        <v>20.0</v>
      </c>
      <c r="F7" s="26">
        <v>127.99</v>
      </c>
      <c r="G7" s="27" t="s">
        <v>154</v>
      </c>
      <c r="H7" s="26">
        <f t="shared" si="1"/>
        <v>4500.56</v>
      </c>
      <c r="I7" s="169"/>
      <c r="J7" s="29"/>
      <c r="K7" s="188" t="s">
        <v>239</v>
      </c>
      <c r="L7" s="30" t="s">
        <v>39</v>
      </c>
      <c r="M7" s="31">
        <v>500.0</v>
      </c>
      <c r="N7" s="34" t="s">
        <v>22</v>
      </c>
      <c r="O7" s="34" t="s">
        <v>22</v>
      </c>
      <c r="P7" s="32">
        <v>10.0</v>
      </c>
      <c r="Q7" s="33" t="s">
        <v>154</v>
      </c>
      <c r="R7" s="11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</row>
    <row r="8" ht="15.75" customHeight="1">
      <c r="A8" s="24" t="s">
        <v>37</v>
      </c>
      <c r="B8" s="25" t="s">
        <v>38</v>
      </c>
      <c r="C8" s="25" t="s">
        <v>35</v>
      </c>
      <c r="D8" s="25" t="s">
        <v>22</v>
      </c>
      <c r="E8" s="25">
        <v>10.0</v>
      </c>
      <c r="F8" s="26">
        <v>40.91</v>
      </c>
      <c r="G8" s="27" t="s">
        <v>154</v>
      </c>
      <c r="H8" s="26">
        <f t="shared" si="1"/>
        <v>4459.65</v>
      </c>
      <c r="I8" s="169"/>
      <c r="J8" s="29"/>
      <c r="K8" s="8"/>
      <c r="L8" s="30" t="s">
        <v>42</v>
      </c>
      <c r="M8" s="170">
        <v>800.0</v>
      </c>
      <c r="N8" s="34" t="s">
        <v>22</v>
      </c>
      <c r="O8" s="34" t="s">
        <v>22</v>
      </c>
      <c r="P8" s="32">
        <v>15.0</v>
      </c>
      <c r="Q8" s="33" t="s">
        <v>154</v>
      </c>
      <c r="R8" s="11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</row>
    <row r="9" ht="15.75" customHeight="1">
      <c r="A9" s="24" t="s">
        <v>40</v>
      </c>
      <c r="B9" s="25" t="s">
        <v>41</v>
      </c>
      <c r="C9" s="25" t="s">
        <v>35</v>
      </c>
      <c r="D9" s="25" t="s">
        <v>22</v>
      </c>
      <c r="E9" s="25">
        <v>17.0</v>
      </c>
      <c r="F9" s="26">
        <v>99.99</v>
      </c>
      <c r="G9" s="27" t="s">
        <v>154</v>
      </c>
      <c r="H9" s="26">
        <f t="shared" si="1"/>
        <v>4359.66</v>
      </c>
      <c r="I9" s="169"/>
      <c r="J9" s="29"/>
      <c r="K9" s="8"/>
      <c r="L9" s="35"/>
      <c r="M9" s="36">
        <f>SUM(M4:M8)</f>
        <v>6240</v>
      </c>
      <c r="N9" s="36"/>
      <c r="O9" s="36"/>
      <c r="P9" s="37"/>
      <c r="Q9" s="23"/>
      <c r="R9" s="11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</row>
    <row r="10" ht="15.75" customHeight="1">
      <c r="A10" s="18" t="s">
        <v>43</v>
      </c>
      <c r="B10" s="19"/>
      <c r="C10" s="19"/>
      <c r="D10" s="19"/>
      <c r="E10" s="19"/>
      <c r="F10" s="19"/>
      <c r="G10" s="19"/>
      <c r="H10" s="19"/>
      <c r="I10" s="19"/>
      <c r="J10" s="20"/>
      <c r="K10" s="8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ht="15.75" customHeight="1">
      <c r="A11" s="24" t="s">
        <v>52</v>
      </c>
      <c r="B11" s="38"/>
      <c r="C11" s="38"/>
      <c r="D11" s="60" t="s">
        <v>247</v>
      </c>
      <c r="E11" s="39"/>
      <c r="F11" s="26">
        <v>286.81</v>
      </c>
      <c r="G11" s="40" t="s">
        <v>154</v>
      </c>
      <c r="H11" s="26">
        <f>H9-F11</f>
        <v>4072.85</v>
      </c>
      <c r="I11" s="175">
        <f>F11*10</f>
        <v>2868.1</v>
      </c>
      <c r="J11" s="41">
        <f>SUM(F11:F14)</f>
        <v>761.58</v>
      </c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ht="15.75" customHeight="1">
      <c r="A12" s="190" t="s">
        <v>59</v>
      </c>
      <c r="B12" s="45"/>
      <c r="C12" s="45"/>
      <c r="D12" s="191" t="s">
        <v>228</v>
      </c>
      <c r="E12" s="45"/>
      <c r="F12" s="192">
        <v>375.0</v>
      </c>
      <c r="G12" s="45"/>
      <c r="H12" s="193">
        <f t="shared" ref="H12:H14" si="2">H11-F12</f>
        <v>3697.85</v>
      </c>
      <c r="I12" s="194">
        <f>F12*2</f>
        <v>750</v>
      </c>
      <c r="J12" s="46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</row>
    <row r="13" ht="15.75" customHeight="1">
      <c r="A13" s="24" t="s">
        <v>63</v>
      </c>
      <c r="B13" s="45"/>
      <c r="C13" s="45"/>
      <c r="D13" s="60" t="s">
        <v>228</v>
      </c>
      <c r="E13" s="45"/>
      <c r="F13" s="26">
        <v>59.02</v>
      </c>
      <c r="G13" s="45"/>
      <c r="H13" s="26">
        <f t="shared" si="2"/>
        <v>3638.83</v>
      </c>
      <c r="I13" s="175">
        <f>F13*4</f>
        <v>236.08</v>
      </c>
      <c r="J13" s="46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ht="15.75" customHeight="1">
      <c r="A14" s="24" t="s">
        <v>65</v>
      </c>
      <c r="B14" s="52"/>
      <c r="C14" s="52"/>
      <c r="D14" s="60" t="s">
        <v>197</v>
      </c>
      <c r="E14" s="52"/>
      <c r="F14" s="26">
        <v>40.75</v>
      </c>
      <c r="G14" s="52"/>
      <c r="H14" s="26">
        <f t="shared" si="2"/>
        <v>3598.08</v>
      </c>
      <c r="I14" s="175">
        <f>F14*5</f>
        <v>203.75</v>
      </c>
      <c r="J14" s="53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ht="15.75" customHeight="1">
      <c r="A15" s="54" t="s">
        <v>70</v>
      </c>
      <c r="B15" s="19"/>
      <c r="C15" s="19"/>
      <c r="D15" s="19"/>
      <c r="E15" s="19"/>
      <c r="F15" s="19"/>
      <c r="G15" s="19"/>
      <c r="H15" s="19"/>
      <c r="I15" s="19"/>
      <c r="J15" s="20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ht="15.75" customHeight="1">
      <c r="A16" s="24" t="s">
        <v>71</v>
      </c>
      <c r="B16" s="38" t="s">
        <v>72</v>
      </c>
      <c r="C16" s="38" t="s">
        <v>46</v>
      </c>
      <c r="D16" s="60" t="s">
        <v>64</v>
      </c>
      <c r="E16" s="39" t="s">
        <v>74</v>
      </c>
      <c r="F16" s="26">
        <v>33.67</v>
      </c>
      <c r="G16" s="40" t="s">
        <v>154</v>
      </c>
      <c r="H16" s="26">
        <f>H14-F16</f>
        <v>3564.41</v>
      </c>
      <c r="I16" s="175">
        <f t="shared" ref="I16:I17" si="3">F16*9</f>
        <v>303.03</v>
      </c>
      <c r="J16" s="41">
        <f>SUM(F16:F17)</f>
        <v>59.67</v>
      </c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ht="15.75" customHeight="1">
      <c r="A17" s="24" t="s">
        <v>75</v>
      </c>
      <c r="B17" s="52"/>
      <c r="C17" s="52"/>
      <c r="D17" s="60" t="s">
        <v>64</v>
      </c>
      <c r="E17" s="52"/>
      <c r="F17" s="26">
        <v>26.0</v>
      </c>
      <c r="G17" s="52"/>
      <c r="H17" s="26">
        <f>H16-F17</f>
        <v>3538.41</v>
      </c>
      <c r="I17" s="175">
        <f t="shared" si="3"/>
        <v>234</v>
      </c>
      <c r="J17" s="53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ht="15.75" customHeight="1">
      <c r="A18" s="54" t="s">
        <v>76</v>
      </c>
      <c r="B18" s="19"/>
      <c r="C18" s="19"/>
      <c r="D18" s="19"/>
      <c r="E18" s="19"/>
      <c r="F18" s="19"/>
      <c r="G18" s="19"/>
      <c r="H18" s="19"/>
      <c r="I18" s="19"/>
      <c r="J18" s="20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ht="15.75" customHeight="1">
      <c r="A19" s="59" t="s">
        <v>231</v>
      </c>
      <c r="B19" s="25" t="s">
        <v>78</v>
      </c>
      <c r="C19" s="25" t="s">
        <v>46</v>
      </c>
      <c r="D19" s="25" t="s">
        <v>22</v>
      </c>
      <c r="E19" s="60" t="s">
        <v>74</v>
      </c>
      <c r="F19" s="28">
        <v>0.0</v>
      </c>
      <c r="G19" s="27" t="s">
        <v>154</v>
      </c>
      <c r="H19" s="26">
        <f>H17-F19</f>
        <v>3538.41</v>
      </c>
      <c r="I19" s="176"/>
      <c r="J19" s="177">
        <f>SUM(F19)</f>
        <v>0</v>
      </c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ht="15.75" customHeight="1">
      <c r="A20" s="54" t="s">
        <v>94</v>
      </c>
      <c r="B20" s="19"/>
      <c r="C20" s="19"/>
      <c r="D20" s="19"/>
      <c r="E20" s="19"/>
      <c r="F20" s="19"/>
      <c r="G20" s="19"/>
      <c r="H20" s="19"/>
      <c r="I20" s="19"/>
      <c r="J20" s="20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</row>
    <row r="21" ht="15.75" customHeight="1">
      <c r="A21" s="24" t="s">
        <v>112</v>
      </c>
      <c r="B21" s="38"/>
      <c r="C21" s="38"/>
      <c r="D21" s="60" t="s">
        <v>247</v>
      </c>
      <c r="E21" s="39"/>
      <c r="F21" s="26">
        <v>25.98</v>
      </c>
      <c r="G21" s="40"/>
      <c r="H21" s="26">
        <f>H19-F21</f>
        <v>3512.43</v>
      </c>
      <c r="I21" s="176">
        <f>F21*10</f>
        <v>259.8</v>
      </c>
      <c r="J21" s="195"/>
      <c r="K21" s="11"/>
      <c r="L21" s="196">
        <f>I31</f>
        <v>1454.9</v>
      </c>
      <c r="M21" s="12" t="str">
        <f>#REF!-L21</f>
        <v>#REF!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ht="15.75" customHeight="1">
      <c r="A22" s="24" t="s">
        <v>113</v>
      </c>
      <c r="B22" s="45"/>
      <c r="C22" s="45"/>
      <c r="D22" s="60" t="s">
        <v>248</v>
      </c>
      <c r="E22" s="45"/>
      <c r="F22" s="26">
        <v>143.0</v>
      </c>
      <c r="G22" s="45"/>
      <c r="H22" s="26">
        <f t="shared" ref="H22:H27" si="4">H21-F22</f>
        <v>3369.43</v>
      </c>
      <c r="I22" s="176">
        <f>F22*3</f>
        <v>429</v>
      </c>
      <c r="J22" s="46"/>
      <c r="K22" s="11"/>
      <c r="L22" s="51">
        <v>0.0</v>
      </c>
      <c r="M22" s="12" t="str">
        <f>M21-L22</f>
        <v>#REF!</v>
      </c>
      <c r="N22" s="51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ht="15.75" customHeight="1">
      <c r="A23" s="24" t="s">
        <v>115</v>
      </c>
      <c r="B23" s="45"/>
      <c r="C23" s="45"/>
      <c r="D23" s="60" t="s">
        <v>247</v>
      </c>
      <c r="E23" s="45"/>
      <c r="F23" s="26">
        <v>133.37</v>
      </c>
      <c r="G23" s="45"/>
      <c r="H23" s="26">
        <f t="shared" si="4"/>
        <v>3236.06</v>
      </c>
      <c r="I23" s="176">
        <f>F23*10</f>
        <v>1333.7</v>
      </c>
      <c r="J23" s="46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ht="15.75" customHeight="1">
      <c r="A24" s="24" t="s">
        <v>116</v>
      </c>
      <c r="B24" s="45"/>
      <c r="C24" s="45"/>
      <c r="D24" s="60" t="s">
        <v>197</v>
      </c>
      <c r="E24" s="45"/>
      <c r="F24" s="26">
        <v>133.33</v>
      </c>
      <c r="G24" s="45"/>
      <c r="H24" s="26">
        <f t="shared" si="4"/>
        <v>3102.73</v>
      </c>
      <c r="I24" s="176">
        <f>F24*5</f>
        <v>666.65</v>
      </c>
      <c r="J24" s="46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ht="15.75" customHeight="1">
      <c r="A25" s="24" t="s">
        <v>118</v>
      </c>
      <c r="B25" s="45"/>
      <c r="C25" s="45"/>
      <c r="D25" s="60" t="s">
        <v>249</v>
      </c>
      <c r="E25" s="45"/>
      <c r="F25" s="26">
        <v>15.52</v>
      </c>
      <c r="G25" s="45"/>
      <c r="H25" s="26">
        <f t="shared" si="4"/>
        <v>3087.21</v>
      </c>
      <c r="I25" s="176">
        <f>F25*3</f>
        <v>46.56</v>
      </c>
      <c r="J25" s="46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</row>
    <row r="26" ht="15.75" customHeight="1">
      <c r="A26" s="24" t="s">
        <v>120</v>
      </c>
      <c r="B26" s="45"/>
      <c r="C26" s="45"/>
      <c r="D26" s="60" t="s">
        <v>197</v>
      </c>
      <c r="E26" s="45"/>
      <c r="F26" s="26">
        <v>57.99</v>
      </c>
      <c r="G26" s="45"/>
      <c r="H26" s="26">
        <f t="shared" si="4"/>
        <v>3029.22</v>
      </c>
      <c r="I26" s="176">
        <f>F26*5</f>
        <v>289.95</v>
      </c>
      <c r="J26" s="46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</row>
    <row r="27" ht="15.75" customHeight="1">
      <c r="A27" s="24" t="s">
        <v>121</v>
      </c>
      <c r="B27" s="52"/>
      <c r="C27" s="52"/>
      <c r="D27" s="60" t="s">
        <v>197</v>
      </c>
      <c r="E27" s="52"/>
      <c r="F27" s="26">
        <v>16.62</v>
      </c>
      <c r="G27" s="52"/>
      <c r="H27" s="26">
        <f t="shared" si="4"/>
        <v>3012.6</v>
      </c>
      <c r="I27" s="176">
        <f>F27+5</f>
        <v>21.62</v>
      </c>
      <c r="J27" s="53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</row>
    <row r="28" ht="15.75" customHeight="1">
      <c r="A28" s="54" t="s">
        <v>126</v>
      </c>
      <c r="B28" s="19"/>
      <c r="C28" s="19"/>
      <c r="D28" s="19"/>
      <c r="E28" s="19"/>
      <c r="F28" s="19"/>
      <c r="G28" s="19"/>
      <c r="H28" s="19"/>
      <c r="I28" s="19"/>
      <c r="J28" s="20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</row>
    <row r="29" ht="15.75" customHeight="1">
      <c r="A29" s="24" t="s">
        <v>127</v>
      </c>
      <c r="B29" s="38" t="s">
        <v>128</v>
      </c>
      <c r="C29" s="38" t="s">
        <v>46</v>
      </c>
      <c r="D29" s="60" t="s">
        <v>250</v>
      </c>
      <c r="E29" s="39" t="s">
        <v>74</v>
      </c>
      <c r="F29" s="26">
        <v>81.66</v>
      </c>
      <c r="G29" s="40" t="s">
        <v>154</v>
      </c>
      <c r="H29" s="26">
        <f>H27-F29</f>
        <v>2930.94</v>
      </c>
      <c r="I29" s="176">
        <f>F29*8</f>
        <v>653.28</v>
      </c>
      <c r="J29" s="55">
        <f>SUM(F29:F31)</f>
        <v>285.14</v>
      </c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</row>
    <row r="30" ht="15.75" customHeight="1">
      <c r="A30" s="24" t="s">
        <v>120</v>
      </c>
      <c r="B30" s="45"/>
      <c r="C30" s="45"/>
      <c r="D30" s="60" t="s">
        <v>197</v>
      </c>
      <c r="E30" s="45"/>
      <c r="F30" s="26">
        <v>57.99</v>
      </c>
      <c r="G30" s="45"/>
      <c r="H30" s="26">
        <f t="shared" ref="H30:H31" si="5">H29-F30</f>
        <v>2872.95</v>
      </c>
      <c r="I30" s="176">
        <f>F30*5</f>
        <v>289.95</v>
      </c>
      <c r="J30" s="46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</row>
    <row r="31" ht="15.75" customHeight="1">
      <c r="A31" s="197" t="s">
        <v>131</v>
      </c>
      <c r="B31" s="52"/>
      <c r="C31" s="52"/>
      <c r="D31" s="198" t="s">
        <v>247</v>
      </c>
      <c r="E31" s="52"/>
      <c r="F31" s="199">
        <v>145.49</v>
      </c>
      <c r="G31" s="52"/>
      <c r="H31" s="200">
        <f t="shared" si="5"/>
        <v>2727.46</v>
      </c>
      <c r="I31" s="201">
        <f>F31*10</f>
        <v>1454.9</v>
      </c>
      <c r="J31" s="53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 ht="15.75" customHeight="1">
      <c r="A32" s="54" t="s">
        <v>132</v>
      </c>
      <c r="B32" s="19"/>
      <c r="C32" s="19"/>
      <c r="D32" s="19"/>
      <c r="E32" s="19"/>
      <c r="F32" s="19"/>
      <c r="G32" s="19"/>
      <c r="H32" s="19"/>
      <c r="I32" s="19"/>
      <c r="J32" s="20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 ht="15.75" customHeight="1">
      <c r="A33" s="59" t="s">
        <v>213</v>
      </c>
      <c r="B33" s="38" t="s">
        <v>133</v>
      </c>
      <c r="C33" s="38" t="s">
        <v>46</v>
      </c>
      <c r="D33" s="60" t="s">
        <v>247</v>
      </c>
      <c r="E33" s="39" t="s">
        <v>134</v>
      </c>
      <c r="F33" s="57">
        <v>68.42</v>
      </c>
      <c r="G33" s="40" t="s">
        <v>154</v>
      </c>
      <c r="H33" s="26">
        <f>H31-F33</f>
        <v>2659.04</v>
      </c>
      <c r="I33" s="176">
        <f t="shared" ref="I33:I35" si="6">F33*10</f>
        <v>684.2</v>
      </c>
      <c r="J33" s="58">
        <f>SUM(F33:F35)</f>
        <v>136.22</v>
      </c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 ht="15.75" customHeight="1">
      <c r="A34" s="59" t="s">
        <v>214</v>
      </c>
      <c r="B34" s="45"/>
      <c r="C34" s="45"/>
      <c r="D34" s="60" t="s">
        <v>247</v>
      </c>
      <c r="E34" s="45"/>
      <c r="F34" s="57">
        <v>40.68</v>
      </c>
      <c r="G34" s="45"/>
      <c r="H34" s="26">
        <f t="shared" ref="H34:H37" si="7">H33-F34</f>
        <v>2618.36</v>
      </c>
      <c r="I34" s="176">
        <f t="shared" si="6"/>
        <v>406.8</v>
      </c>
      <c r="J34" s="46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 ht="15.75" customHeight="1">
      <c r="A35" s="59" t="s">
        <v>215</v>
      </c>
      <c r="B35" s="45"/>
      <c r="C35" s="45"/>
      <c r="D35" s="60" t="s">
        <v>247</v>
      </c>
      <c r="E35" s="45"/>
      <c r="F35" s="57">
        <v>27.12</v>
      </c>
      <c r="G35" s="45"/>
      <c r="H35" s="26">
        <f t="shared" si="7"/>
        <v>2591.24</v>
      </c>
      <c r="I35" s="176">
        <f t="shared" si="6"/>
        <v>271.2</v>
      </c>
      <c r="J35" s="46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ht="15.75" customHeight="1">
      <c r="A36" s="59" t="s">
        <v>219</v>
      </c>
      <c r="B36" s="45"/>
      <c r="C36" s="45"/>
      <c r="D36" s="60" t="s">
        <v>251</v>
      </c>
      <c r="E36" s="45"/>
      <c r="F36" s="57">
        <v>7.56</v>
      </c>
      <c r="G36" s="45"/>
      <c r="H36" s="26">
        <f t="shared" si="7"/>
        <v>2583.68</v>
      </c>
      <c r="I36" s="176">
        <f>F36*3</f>
        <v>22.68</v>
      </c>
      <c r="J36" s="46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 ht="15.75" customHeight="1">
      <c r="A37" s="59" t="s">
        <v>225</v>
      </c>
      <c r="B37" s="52"/>
      <c r="C37" s="52"/>
      <c r="D37" s="60" t="s">
        <v>230</v>
      </c>
      <c r="E37" s="52"/>
      <c r="F37" s="57">
        <v>57.86</v>
      </c>
      <c r="G37" s="52"/>
      <c r="H37" s="26">
        <f t="shared" si="7"/>
        <v>2525.82</v>
      </c>
      <c r="I37" s="176">
        <f>F37*10</f>
        <v>578.6</v>
      </c>
      <c r="J37" s="53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 ht="15.75" customHeight="1">
      <c r="A38" s="54" t="s">
        <v>138</v>
      </c>
      <c r="B38" s="19"/>
      <c r="C38" s="19"/>
      <c r="D38" s="19"/>
      <c r="E38" s="19"/>
      <c r="F38" s="19"/>
      <c r="G38" s="19"/>
      <c r="H38" s="19"/>
      <c r="I38" s="19"/>
      <c r="J38" s="20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</row>
    <row r="39" ht="15.75" customHeight="1">
      <c r="A39" s="24" t="s">
        <v>139</v>
      </c>
      <c r="B39" s="25" t="s">
        <v>140</v>
      </c>
      <c r="C39" s="25" t="s">
        <v>35</v>
      </c>
      <c r="D39" s="25" t="s">
        <v>22</v>
      </c>
      <c r="E39" s="60" t="s">
        <v>74</v>
      </c>
      <c r="F39" s="26">
        <v>856.34</v>
      </c>
      <c r="G39" s="27" t="s">
        <v>154</v>
      </c>
      <c r="H39" s="26">
        <f>H37-F39</f>
        <v>1669.48</v>
      </c>
      <c r="I39" s="169"/>
      <c r="J39" s="29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</row>
    <row r="40" ht="15.75" customHeight="1">
      <c r="A40" s="59" t="s">
        <v>141</v>
      </c>
      <c r="B40" s="60" t="s">
        <v>22</v>
      </c>
      <c r="C40" s="62"/>
      <c r="D40" s="60"/>
      <c r="E40" s="60" t="s">
        <v>22</v>
      </c>
      <c r="F40" s="28">
        <v>90.0</v>
      </c>
      <c r="G40" s="27" t="s">
        <v>154</v>
      </c>
      <c r="H40" s="28">
        <f t="shared" ref="H40:H45" si="8">H39-F40</f>
        <v>1579.48</v>
      </c>
      <c r="I40" s="169"/>
      <c r="J40" s="29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  <row r="41" ht="15.75" customHeight="1">
      <c r="A41" s="59" t="s">
        <v>152</v>
      </c>
      <c r="B41" s="60" t="s">
        <v>22</v>
      </c>
      <c r="C41" s="25" t="s">
        <v>148</v>
      </c>
      <c r="D41" s="60" t="s">
        <v>22</v>
      </c>
      <c r="E41" s="60" t="s">
        <v>22</v>
      </c>
      <c r="F41" s="57">
        <v>150.0</v>
      </c>
      <c r="G41" s="27" t="s">
        <v>154</v>
      </c>
      <c r="H41" s="28">
        <f t="shared" si="8"/>
        <v>1429.48</v>
      </c>
      <c r="I41" s="169"/>
      <c r="J41" s="29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</row>
    <row r="42" ht="15.75" customHeight="1">
      <c r="A42" s="24" t="s">
        <v>142</v>
      </c>
      <c r="B42" s="25" t="s">
        <v>143</v>
      </c>
      <c r="C42" s="62" t="s">
        <v>144</v>
      </c>
      <c r="D42" s="60" t="s">
        <v>22</v>
      </c>
      <c r="E42" s="60" t="s">
        <v>145</v>
      </c>
      <c r="F42" s="26">
        <v>40.9</v>
      </c>
      <c r="G42" s="27" t="s">
        <v>154</v>
      </c>
      <c r="H42" s="26">
        <f t="shared" si="8"/>
        <v>1388.58</v>
      </c>
      <c r="I42" s="169"/>
      <c r="J42" s="29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</row>
    <row r="43" ht="15.75" customHeight="1">
      <c r="A43" s="24" t="s">
        <v>146</v>
      </c>
      <c r="B43" s="25" t="s">
        <v>147</v>
      </c>
      <c r="C43" s="25" t="s">
        <v>148</v>
      </c>
      <c r="D43" s="60" t="s">
        <v>22</v>
      </c>
      <c r="E43" s="27" t="s">
        <v>74</v>
      </c>
      <c r="F43" s="26">
        <v>100.0</v>
      </c>
      <c r="G43" s="27" t="s">
        <v>154</v>
      </c>
      <c r="H43" s="26">
        <f t="shared" si="8"/>
        <v>1288.58</v>
      </c>
      <c r="I43" s="169"/>
      <c r="J43" s="29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</row>
    <row r="44" ht="15.75" customHeight="1">
      <c r="A44" s="24" t="s">
        <v>189</v>
      </c>
      <c r="B44" s="25" t="s">
        <v>109</v>
      </c>
      <c r="C44" s="25" t="s">
        <v>148</v>
      </c>
      <c r="D44" s="60" t="s">
        <v>22</v>
      </c>
      <c r="E44" s="60" t="s">
        <v>22</v>
      </c>
      <c r="F44" s="56">
        <f>14*22</f>
        <v>308</v>
      </c>
      <c r="G44" s="27" t="s">
        <v>154</v>
      </c>
      <c r="H44" s="26">
        <f t="shared" si="8"/>
        <v>980.58</v>
      </c>
      <c r="I44" s="169"/>
      <c r="J44" s="29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</row>
    <row r="45" ht="15.75" customHeight="1">
      <c r="A45" s="24" t="s">
        <v>150</v>
      </c>
      <c r="B45" s="25" t="s">
        <v>151</v>
      </c>
      <c r="C45" s="25" t="s">
        <v>148</v>
      </c>
      <c r="D45" s="60" t="s">
        <v>22</v>
      </c>
      <c r="E45" s="60" t="s">
        <v>22</v>
      </c>
      <c r="F45" s="56">
        <f>80*2</f>
        <v>160</v>
      </c>
      <c r="G45" s="27" t="s">
        <v>154</v>
      </c>
      <c r="H45" s="26">
        <f t="shared" si="8"/>
        <v>820.58</v>
      </c>
      <c r="I45" s="169"/>
      <c r="J45" s="29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</row>
    <row r="46" ht="15.75" customHeight="1">
      <c r="A46" s="54" t="s">
        <v>155</v>
      </c>
      <c r="B46" s="19"/>
      <c r="C46" s="19"/>
      <c r="D46" s="19"/>
      <c r="E46" s="19"/>
      <c r="F46" s="19"/>
      <c r="G46" s="19"/>
      <c r="H46" s="19"/>
      <c r="I46" s="19"/>
      <c r="J46" s="20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</row>
    <row r="47" ht="15.75" customHeight="1">
      <c r="A47" s="59" t="s">
        <v>156</v>
      </c>
      <c r="B47" s="25" t="s">
        <v>157</v>
      </c>
      <c r="C47" s="25" t="s">
        <v>148</v>
      </c>
      <c r="D47" s="60" t="s">
        <v>22</v>
      </c>
      <c r="E47" s="60" t="s">
        <v>22</v>
      </c>
      <c r="F47" s="28">
        <v>130.0</v>
      </c>
      <c r="G47" s="27" t="s">
        <v>154</v>
      </c>
      <c r="H47" s="26">
        <f>H45-F47</f>
        <v>690.58</v>
      </c>
      <c r="I47" s="169"/>
      <c r="J47" s="29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</row>
    <row r="48" ht="15.75" customHeight="1">
      <c r="A48" s="59" t="s">
        <v>158</v>
      </c>
      <c r="B48" s="25" t="s">
        <v>109</v>
      </c>
      <c r="C48" s="25" t="s">
        <v>148</v>
      </c>
      <c r="D48" s="60" t="s">
        <v>22</v>
      </c>
      <c r="E48" s="60" t="s">
        <v>22</v>
      </c>
      <c r="F48" s="28">
        <f>8*60</f>
        <v>480</v>
      </c>
      <c r="G48" s="27" t="s">
        <v>154</v>
      </c>
      <c r="H48" s="26">
        <f t="shared" ref="H48:H50" si="9">H47-F48</f>
        <v>210.58</v>
      </c>
      <c r="I48" s="169"/>
      <c r="J48" s="29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</row>
    <row r="49" ht="15.75" customHeight="1">
      <c r="A49" s="59" t="s">
        <v>159</v>
      </c>
      <c r="B49" s="60" t="s">
        <v>160</v>
      </c>
      <c r="C49" s="25" t="s">
        <v>148</v>
      </c>
      <c r="D49" s="60" t="s">
        <v>22</v>
      </c>
      <c r="E49" s="60" t="s">
        <v>22</v>
      </c>
      <c r="F49" s="28">
        <v>200.0</v>
      </c>
      <c r="G49" s="27" t="s">
        <v>154</v>
      </c>
      <c r="H49" s="26">
        <f t="shared" si="9"/>
        <v>10.58</v>
      </c>
      <c r="I49" s="169"/>
      <c r="J49" s="29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</row>
    <row r="50" ht="15.75" customHeight="1">
      <c r="A50" s="59" t="s">
        <v>161</v>
      </c>
      <c r="B50" s="60" t="s">
        <v>22</v>
      </c>
      <c r="C50" s="25" t="s">
        <v>148</v>
      </c>
      <c r="D50" s="60" t="s">
        <v>22</v>
      </c>
      <c r="E50" s="60" t="s">
        <v>22</v>
      </c>
      <c r="F50" s="28">
        <v>0.0</v>
      </c>
      <c r="G50" s="27" t="s">
        <v>154</v>
      </c>
      <c r="H50" s="28">
        <f t="shared" si="9"/>
        <v>10.58</v>
      </c>
      <c r="I50" s="169"/>
      <c r="J50" s="29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</row>
    <row r="51" ht="15.75" customHeight="1">
      <c r="A51" s="63" t="s">
        <v>162</v>
      </c>
      <c r="B51" s="64"/>
      <c r="C51" s="64"/>
      <c r="D51" s="64"/>
      <c r="E51" s="65"/>
      <c r="F51" s="186">
        <f>H49</f>
        <v>10.58</v>
      </c>
      <c r="G51" s="23"/>
      <c r="H51" s="23"/>
      <c r="I51" s="202">
        <f>I11+I12+I13+I14+I16+I17+I21+I22+I23+I24+I25+I26+I27+I29+I30+I31+I33+I34+I35+I36+I37</f>
        <v>12003.85</v>
      </c>
      <c r="J51" s="23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 ht="15.75" customHeight="1">
      <c r="A52" s="12"/>
      <c r="B52" s="12"/>
      <c r="C52" s="12"/>
      <c r="D52" s="12"/>
      <c r="E52" s="12"/>
      <c r="F52" s="12"/>
      <c r="G52" s="12"/>
      <c r="H52" s="51"/>
      <c r="I52" s="12"/>
      <c r="J52" s="12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</row>
    <row r="53" ht="15.75" customHeight="1">
      <c r="A53" s="67" t="s">
        <v>163</v>
      </c>
      <c r="B53" s="68"/>
      <c r="C53" s="69">
        <f>F51</f>
        <v>10.58</v>
      </c>
      <c r="D53" s="70" t="s">
        <v>164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</row>
    <row r="54" ht="15.75" customHeight="1">
      <c r="A54" s="72" t="s">
        <v>165</v>
      </c>
      <c r="B54" s="19"/>
      <c r="C54" s="19"/>
      <c r="D54" s="20"/>
      <c r="E54" s="11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</row>
    <row r="55" ht="15.75" customHeight="1">
      <c r="A55" s="30" t="s">
        <v>167</v>
      </c>
      <c r="B55" s="73">
        <v>0.0</v>
      </c>
      <c r="C55" s="73">
        <f>C53-B55</f>
        <v>10.58</v>
      </c>
      <c r="D55" s="74" t="b">
        <v>0</v>
      </c>
      <c r="E55" s="11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</row>
    <row r="56" ht="15.75" customHeight="1">
      <c r="A56" s="30" t="s">
        <v>169</v>
      </c>
      <c r="B56" s="73">
        <v>0.0</v>
      </c>
      <c r="C56" s="73">
        <f>C55-B56</f>
        <v>10.58</v>
      </c>
      <c r="D56" s="74" t="b">
        <v>0</v>
      </c>
      <c r="E56" s="11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</row>
    <row r="57" ht="15.75" customHeight="1">
      <c r="A57" s="76" t="s">
        <v>171</v>
      </c>
      <c r="B57" s="19"/>
      <c r="C57" s="19"/>
      <c r="D57" s="20"/>
      <c r="E57" s="11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</row>
    <row r="58" ht="15.75" customHeight="1">
      <c r="A58" s="30" t="s">
        <v>173</v>
      </c>
      <c r="B58" s="73">
        <v>0.0</v>
      </c>
      <c r="C58" s="73">
        <f>C57-B58</f>
        <v>0</v>
      </c>
      <c r="D58" s="74" t="b">
        <v>0</v>
      </c>
      <c r="E58" s="11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</row>
    <row r="59" ht="15.75" customHeight="1">
      <c r="A59" s="30" t="s">
        <v>174</v>
      </c>
      <c r="B59" s="73">
        <v>0.0</v>
      </c>
      <c r="C59" s="73">
        <f>C57-B59</f>
        <v>0</v>
      </c>
      <c r="D59" s="74" t="b">
        <v>0</v>
      </c>
      <c r="E59" s="11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 ht="15.75" customHeight="1">
      <c r="A60" s="76" t="s">
        <v>175</v>
      </c>
      <c r="B60" s="19"/>
      <c r="C60" s="19"/>
      <c r="D60" s="20"/>
      <c r="E60" s="11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ht="15.75" customHeight="1">
      <c r="A61" s="30" t="s">
        <v>176</v>
      </c>
      <c r="B61" s="73">
        <v>0.0</v>
      </c>
      <c r="C61" s="73">
        <f>C59-B61</f>
        <v>0</v>
      </c>
      <c r="D61" s="74" t="b">
        <v>0</v>
      </c>
      <c r="E61" s="11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ht="15.75" customHeight="1">
      <c r="A62" s="30" t="s">
        <v>177</v>
      </c>
      <c r="B62" s="73">
        <v>0.0</v>
      </c>
      <c r="C62" s="73">
        <f>C61-B62</f>
        <v>0</v>
      </c>
      <c r="D62" s="74" t="b">
        <v>0</v>
      </c>
      <c r="E62" s="11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</row>
    <row r="63" ht="15.75" customHeight="1">
      <c r="A63" s="76" t="s">
        <v>178</v>
      </c>
      <c r="B63" s="19"/>
      <c r="C63" s="19"/>
      <c r="D63" s="20"/>
      <c r="E63" s="11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</row>
    <row r="64" ht="15.75" customHeight="1">
      <c r="A64" s="30" t="s">
        <v>179</v>
      </c>
      <c r="B64" s="73">
        <v>0.0</v>
      </c>
      <c r="C64" s="73">
        <f>C63-B64</f>
        <v>0</v>
      </c>
      <c r="D64" s="74" t="b">
        <v>0</v>
      </c>
      <c r="E64" s="11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</row>
    <row r="65" ht="15.75" customHeight="1">
      <c r="A65" s="30" t="s">
        <v>180</v>
      </c>
      <c r="B65" s="73">
        <v>0.0</v>
      </c>
      <c r="C65" s="73">
        <f>C63-B65</f>
        <v>0</v>
      </c>
      <c r="D65" s="74" t="b">
        <v>0</v>
      </c>
      <c r="E65" s="11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</row>
    <row r="66" ht="15.75" customHeight="1">
      <c r="A66" s="30" t="s">
        <v>181</v>
      </c>
      <c r="B66" s="73">
        <v>0.0</v>
      </c>
      <c r="C66" s="73">
        <f>C65-B66</f>
        <v>0</v>
      </c>
      <c r="D66" s="74" t="b">
        <v>0</v>
      </c>
      <c r="E66" s="11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</row>
    <row r="67" ht="15.75" customHeight="1">
      <c r="A67" s="30" t="s">
        <v>182</v>
      </c>
      <c r="B67" s="73">
        <v>0.0</v>
      </c>
      <c r="C67" s="73">
        <f>C65-B67</f>
        <v>0</v>
      </c>
      <c r="D67" s="74" t="b">
        <v>0</v>
      </c>
      <c r="E67" s="11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</row>
    <row r="68" ht="15.75" customHeight="1">
      <c r="A68" s="30" t="s">
        <v>183</v>
      </c>
      <c r="B68" s="73">
        <v>0.0</v>
      </c>
      <c r="C68" s="73">
        <f>C67-B68</f>
        <v>0</v>
      </c>
      <c r="D68" s="74" t="b">
        <v>0</v>
      </c>
      <c r="E68" s="11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</row>
    <row r="69" ht="15.75" customHeight="1">
      <c r="A69" s="30" t="s">
        <v>184</v>
      </c>
      <c r="B69" s="73">
        <v>0.0</v>
      </c>
      <c r="C69" s="73">
        <f>C67-B69</f>
        <v>0</v>
      </c>
      <c r="D69" s="74" t="b">
        <v>0</v>
      </c>
      <c r="E69" s="11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</row>
    <row r="70" ht="15.75" customHeight="1">
      <c r="A70" s="30" t="s">
        <v>185</v>
      </c>
      <c r="B70" s="73">
        <v>0.0</v>
      </c>
      <c r="C70" s="73">
        <f>C69-B70</f>
        <v>0</v>
      </c>
      <c r="D70" s="74" t="b">
        <v>0</v>
      </c>
      <c r="E70" s="11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 ht="15.75" customHeight="1">
      <c r="A71" s="78" t="s">
        <v>186</v>
      </c>
      <c r="B71" s="79">
        <v>0.0</v>
      </c>
      <c r="C71" s="79">
        <f>C69-B71</f>
        <v>0</v>
      </c>
      <c r="D71" s="80" t="b">
        <v>0</v>
      </c>
      <c r="E71" s="11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</row>
    <row r="72" ht="15.75" customHeight="1">
      <c r="A72" s="81"/>
      <c r="B72" s="47"/>
      <c r="C72" s="47"/>
      <c r="D72" s="47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</row>
    <row r="73" ht="15.75" customHeight="1">
      <c r="A73" s="8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</row>
    <row r="74" ht="15.75" customHeight="1">
      <c r="A74" s="8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</row>
    <row r="75" ht="15.75" customHeight="1">
      <c r="A75" s="8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</row>
    <row r="76" ht="15.75" customHeight="1">
      <c r="A76" s="8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</row>
    <row r="77" ht="15.75" customHeight="1">
      <c r="A77" s="8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</row>
    <row r="78" ht="15.75" customHeight="1">
      <c r="A78" s="8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</row>
    <row r="79" ht="15.75" customHeight="1">
      <c r="A79" s="8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</row>
    <row r="80" ht="15.75" customHeight="1">
      <c r="A80" s="8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ht="15.75" customHeight="1">
      <c r="A81" s="8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</row>
    <row r="82" ht="15.75" customHeight="1">
      <c r="A82" s="8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</row>
    <row r="83" ht="15.75" customHeight="1">
      <c r="A83" s="8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</row>
    <row r="84" ht="15.75" customHeight="1">
      <c r="A84" s="8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</row>
    <row r="85" ht="15.75" customHeight="1">
      <c r="A85" s="8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</row>
    <row r="86" ht="15.75" customHeight="1">
      <c r="A86" s="8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</row>
    <row r="87" ht="15.75" customHeight="1">
      <c r="A87" s="8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</row>
    <row r="88" ht="15.75" customHeight="1">
      <c r="A88" s="8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</row>
    <row r="89" ht="15.75" customHeight="1">
      <c r="A89" s="8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</row>
    <row r="90" ht="15.75" customHeight="1">
      <c r="A90" s="8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</row>
    <row r="91" ht="15.75" customHeight="1">
      <c r="A91" s="8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</row>
    <row r="92" ht="15.75" customHeight="1">
      <c r="A92" s="8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</row>
    <row r="93" ht="15.75" customHeight="1">
      <c r="A93" s="8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</sheetData>
  <mergeCells count="42">
    <mergeCell ref="G11:G14"/>
    <mergeCell ref="J11:J14"/>
    <mergeCell ref="G16:G17"/>
    <mergeCell ref="J16:J17"/>
    <mergeCell ref="J21:J27"/>
    <mergeCell ref="A18:J18"/>
    <mergeCell ref="A20:J20"/>
    <mergeCell ref="A1:E1"/>
    <mergeCell ref="L1:Q1"/>
    <mergeCell ref="A3:J3"/>
    <mergeCell ref="A10:J10"/>
    <mergeCell ref="C11:C14"/>
    <mergeCell ref="E11:E14"/>
    <mergeCell ref="A15:J15"/>
    <mergeCell ref="G21:G27"/>
    <mergeCell ref="A28:J28"/>
    <mergeCell ref="B29:B31"/>
    <mergeCell ref="C29:C31"/>
    <mergeCell ref="E29:E31"/>
    <mergeCell ref="G29:G31"/>
    <mergeCell ref="J29:J31"/>
    <mergeCell ref="A32:J32"/>
    <mergeCell ref="B11:B14"/>
    <mergeCell ref="B16:B17"/>
    <mergeCell ref="C16:C17"/>
    <mergeCell ref="E16:E17"/>
    <mergeCell ref="B21:B27"/>
    <mergeCell ref="C21:C27"/>
    <mergeCell ref="E21:E27"/>
    <mergeCell ref="A51:E51"/>
    <mergeCell ref="A53:B53"/>
    <mergeCell ref="A54:D54"/>
    <mergeCell ref="A57:D57"/>
    <mergeCell ref="A60:D60"/>
    <mergeCell ref="A63:D63"/>
    <mergeCell ref="B33:B37"/>
    <mergeCell ref="C33:C37"/>
    <mergeCell ref="E33:E37"/>
    <mergeCell ref="G33:G37"/>
    <mergeCell ref="J33:J37"/>
    <mergeCell ref="A38:J38"/>
    <mergeCell ref="A46:J46"/>
  </mergeCells>
  <conditionalFormatting sqref="Q4:Q9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G4:G9 G11 G16 G19 G29 G33 G39:G45 G47:G50">
      <formula1>"Pago,Pendente"</formula1>
    </dataValidation>
    <dataValidation type="list" allowBlank="1" showErrorMessage="1" sqref="Q4:Q8">
      <formula1>"Recebido,Pendente"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1.63"/>
    <col customWidth="1" min="2" max="2" width="18.0"/>
    <col customWidth="1" min="3" max="3" width="16.0"/>
    <col customWidth="1" min="4" max="4" width="14.0"/>
    <col customWidth="1" min="5" max="5" width="12.0"/>
    <col customWidth="1" min="6" max="6" width="14.0"/>
    <col customWidth="1" min="7" max="7" width="12.75"/>
    <col customWidth="1" min="8" max="10" width="16.0"/>
    <col customWidth="1" min="11" max="11" width="9.13"/>
    <col customWidth="1" min="12" max="12" width="28.0"/>
    <col customWidth="1" min="13" max="15" width="14.0"/>
    <col customWidth="1" min="16" max="16" width="18.0"/>
    <col customWidth="1" min="17" max="17" width="17.63"/>
  </cols>
  <sheetData>
    <row r="1" ht="15.75" customHeight="1">
      <c r="A1" s="1" t="s">
        <v>252</v>
      </c>
      <c r="B1" s="2"/>
      <c r="C1" s="2"/>
      <c r="D1" s="2"/>
      <c r="E1" s="3"/>
      <c r="F1" s="4" t="s">
        <v>1</v>
      </c>
      <c r="G1" s="5"/>
      <c r="H1" s="50">
        <f>M9</f>
        <v>6240</v>
      </c>
      <c r="I1" s="167"/>
      <c r="J1" s="7"/>
      <c r="K1" s="8"/>
      <c r="L1" s="9" t="s">
        <v>2</v>
      </c>
      <c r="M1" s="2"/>
      <c r="N1" s="2"/>
      <c r="O1" s="2"/>
      <c r="P1" s="2"/>
      <c r="Q1" s="10"/>
      <c r="R1" s="11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5.75" customHeight="1">
      <c r="A2" s="13" t="s">
        <v>3</v>
      </c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68" t="s">
        <v>192</v>
      </c>
      <c r="J2" s="15" t="s">
        <v>11</v>
      </c>
      <c r="K2" s="8"/>
      <c r="L2" s="13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5" t="s">
        <v>17</v>
      </c>
      <c r="R2" s="16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</row>
    <row r="3" ht="15.75" customHeight="1">
      <c r="A3" s="54" t="s">
        <v>227</v>
      </c>
      <c r="B3" s="19"/>
      <c r="C3" s="19"/>
      <c r="D3" s="19"/>
      <c r="E3" s="19"/>
      <c r="F3" s="19"/>
      <c r="G3" s="19"/>
      <c r="H3" s="19"/>
      <c r="I3" s="19"/>
      <c r="J3" s="20"/>
      <c r="K3" s="8"/>
      <c r="L3" s="21"/>
      <c r="M3" s="22"/>
      <c r="N3" s="22"/>
      <c r="O3" s="22"/>
      <c r="P3" s="22"/>
      <c r="Q3" s="23"/>
      <c r="R3" s="11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</row>
    <row r="4" ht="15.75" customHeight="1">
      <c r="A4" s="24" t="s">
        <v>19</v>
      </c>
      <c r="B4" s="25" t="s">
        <v>20</v>
      </c>
      <c r="C4" s="25" t="s">
        <v>21</v>
      </c>
      <c r="D4" s="25" t="s">
        <v>22</v>
      </c>
      <c r="E4" s="25" t="s">
        <v>22</v>
      </c>
      <c r="F4" s="26">
        <v>65.0</v>
      </c>
      <c r="G4" s="27" t="s">
        <v>154</v>
      </c>
      <c r="H4" s="26">
        <f>H1-F4</f>
        <v>6175</v>
      </c>
      <c r="I4" s="169"/>
      <c r="J4" s="29"/>
      <c r="K4" s="8"/>
      <c r="L4" s="30" t="s">
        <v>24</v>
      </c>
      <c r="M4" s="31">
        <v>2540.0</v>
      </c>
      <c r="N4" s="31">
        <v>580.0</v>
      </c>
      <c r="O4" s="31">
        <v>264.0</v>
      </c>
      <c r="P4" s="32">
        <v>5.0</v>
      </c>
      <c r="Q4" s="33" t="s">
        <v>154</v>
      </c>
      <c r="R4" s="11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ht="15.75" customHeight="1">
      <c r="A5" s="24" t="s">
        <v>26</v>
      </c>
      <c r="B5" s="25" t="s">
        <v>27</v>
      </c>
      <c r="C5" s="25" t="s">
        <v>28</v>
      </c>
      <c r="D5" s="25" t="s">
        <v>22</v>
      </c>
      <c r="E5" s="25">
        <v>7.0</v>
      </c>
      <c r="F5" s="26">
        <v>1371.16</v>
      </c>
      <c r="G5" s="27" t="s">
        <v>154</v>
      </c>
      <c r="H5" s="26">
        <f t="shared" ref="H5:H9" si="1">H4-F5</f>
        <v>4803.84</v>
      </c>
      <c r="I5" s="169"/>
      <c r="J5" s="29"/>
      <c r="K5" s="8"/>
      <c r="L5" s="30" t="s">
        <v>29</v>
      </c>
      <c r="M5" s="31">
        <v>2000.0</v>
      </c>
      <c r="N5" s="34" t="s">
        <v>22</v>
      </c>
      <c r="O5" s="34" t="s">
        <v>22</v>
      </c>
      <c r="P5" s="32">
        <v>10.0</v>
      </c>
      <c r="Q5" s="33" t="s">
        <v>154</v>
      </c>
      <c r="R5" s="11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</row>
    <row r="6" ht="15.75" customHeight="1">
      <c r="A6" s="24" t="s">
        <v>30</v>
      </c>
      <c r="B6" s="25" t="s">
        <v>31</v>
      </c>
      <c r="C6" s="25" t="s">
        <v>28</v>
      </c>
      <c r="D6" s="25" t="s">
        <v>22</v>
      </c>
      <c r="E6" s="25">
        <v>7.0</v>
      </c>
      <c r="F6" s="26">
        <v>473.45</v>
      </c>
      <c r="G6" s="27" t="s">
        <v>154</v>
      </c>
      <c r="H6" s="26">
        <f t="shared" si="1"/>
        <v>4330.39</v>
      </c>
      <c r="I6" s="169"/>
      <c r="J6" s="29"/>
      <c r="K6" s="8"/>
      <c r="L6" s="30" t="s">
        <v>32</v>
      </c>
      <c r="M6" s="31">
        <v>400.0</v>
      </c>
      <c r="N6" s="34" t="s">
        <v>22</v>
      </c>
      <c r="O6" s="34" t="s">
        <v>22</v>
      </c>
      <c r="P6" s="32">
        <v>10.0</v>
      </c>
      <c r="Q6" s="33" t="s">
        <v>154</v>
      </c>
      <c r="R6" s="11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ht="15.75" customHeight="1">
      <c r="A7" s="24" t="s">
        <v>33</v>
      </c>
      <c r="B7" s="25" t="s">
        <v>34</v>
      </c>
      <c r="C7" s="25" t="s">
        <v>35</v>
      </c>
      <c r="D7" s="25" t="s">
        <v>22</v>
      </c>
      <c r="E7" s="25">
        <v>20.0</v>
      </c>
      <c r="F7" s="26">
        <v>127.99</v>
      </c>
      <c r="G7" s="27" t="s">
        <v>154</v>
      </c>
      <c r="H7" s="26">
        <f t="shared" si="1"/>
        <v>4202.4</v>
      </c>
      <c r="I7" s="169"/>
      <c r="J7" s="29"/>
      <c r="K7" s="188" t="s">
        <v>239</v>
      </c>
      <c r="L7" s="30" t="s">
        <v>39</v>
      </c>
      <c r="M7" s="31">
        <v>500.0</v>
      </c>
      <c r="N7" s="34" t="s">
        <v>22</v>
      </c>
      <c r="O7" s="34" t="s">
        <v>22</v>
      </c>
      <c r="P7" s="32">
        <v>10.0</v>
      </c>
      <c r="Q7" s="33" t="s">
        <v>154</v>
      </c>
      <c r="R7" s="11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</row>
    <row r="8" ht="15.75" customHeight="1">
      <c r="A8" s="24" t="s">
        <v>37</v>
      </c>
      <c r="B8" s="25" t="s">
        <v>38</v>
      </c>
      <c r="C8" s="25" t="s">
        <v>35</v>
      </c>
      <c r="D8" s="25" t="s">
        <v>22</v>
      </c>
      <c r="E8" s="25">
        <v>10.0</v>
      </c>
      <c r="F8" s="26">
        <v>40.91</v>
      </c>
      <c r="G8" s="27" t="s">
        <v>154</v>
      </c>
      <c r="H8" s="26">
        <f t="shared" si="1"/>
        <v>4161.49</v>
      </c>
      <c r="I8" s="169"/>
      <c r="J8" s="29"/>
      <c r="K8" s="8"/>
      <c r="L8" s="30" t="s">
        <v>42</v>
      </c>
      <c r="M8" s="170">
        <v>800.0</v>
      </c>
      <c r="N8" s="34" t="s">
        <v>22</v>
      </c>
      <c r="O8" s="34" t="s">
        <v>22</v>
      </c>
      <c r="P8" s="32">
        <v>15.0</v>
      </c>
      <c r="Q8" s="33" t="s">
        <v>154</v>
      </c>
      <c r="R8" s="11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</row>
    <row r="9" ht="15.75" customHeight="1">
      <c r="A9" s="24" t="s">
        <v>40</v>
      </c>
      <c r="B9" s="25" t="s">
        <v>41</v>
      </c>
      <c r="C9" s="25" t="s">
        <v>35</v>
      </c>
      <c r="D9" s="25" t="s">
        <v>22</v>
      </c>
      <c r="E9" s="25">
        <v>17.0</v>
      </c>
      <c r="F9" s="26">
        <v>99.99</v>
      </c>
      <c r="G9" s="27" t="s">
        <v>154</v>
      </c>
      <c r="H9" s="26">
        <f t="shared" si="1"/>
        <v>4061.5</v>
      </c>
      <c r="I9" s="169"/>
      <c r="J9" s="29"/>
      <c r="K9" s="8"/>
      <c r="L9" s="35"/>
      <c r="M9" s="36">
        <f>SUM(M4:M8)</f>
        <v>6240</v>
      </c>
      <c r="N9" s="36"/>
      <c r="O9" s="36"/>
      <c r="P9" s="37"/>
      <c r="Q9" s="23"/>
      <c r="R9" s="11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</row>
    <row r="10" ht="15.75" customHeight="1">
      <c r="A10" s="18" t="s">
        <v>43</v>
      </c>
      <c r="B10" s="19"/>
      <c r="C10" s="19"/>
      <c r="D10" s="19"/>
      <c r="E10" s="19"/>
      <c r="F10" s="19"/>
      <c r="G10" s="19"/>
      <c r="H10" s="19"/>
      <c r="I10" s="19"/>
      <c r="J10" s="20"/>
      <c r="K10" s="8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ht="15.75" customHeight="1">
      <c r="A11" s="24" t="s">
        <v>52</v>
      </c>
      <c r="B11" s="38"/>
      <c r="C11" s="38"/>
      <c r="D11" s="60" t="s">
        <v>66</v>
      </c>
      <c r="E11" s="39"/>
      <c r="F11" s="26">
        <v>286.81</v>
      </c>
      <c r="G11" s="40" t="s">
        <v>154</v>
      </c>
      <c r="H11" s="26">
        <f>H9-F11</f>
        <v>3774.69</v>
      </c>
      <c r="I11" s="175">
        <f>F11*10</f>
        <v>2868.1</v>
      </c>
      <c r="J11" s="41">
        <f>SUM(F11:F14)</f>
        <v>761.58</v>
      </c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ht="15.75" customHeight="1">
      <c r="A12" s="190" t="s">
        <v>59</v>
      </c>
      <c r="B12" s="45"/>
      <c r="C12" s="45"/>
      <c r="D12" s="191" t="s">
        <v>253</v>
      </c>
      <c r="E12" s="45"/>
      <c r="F12" s="192">
        <v>375.0</v>
      </c>
      <c r="G12" s="45"/>
      <c r="H12" s="193">
        <f t="shared" ref="H12:H14" si="2">H11-F12</f>
        <v>3399.69</v>
      </c>
      <c r="I12" s="194">
        <f>F12*2</f>
        <v>750</v>
      </c>
      <c r="J12" s="46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</row>
    <row r="13" ht="15.75" customHeight="1">
      <c r="A13" s="24" t="s">
        <v>63</v>
      </c>
      <c r="B13" s="45"/>
      <c r="C13" s="45"/>
      <c r="D13" s="60" t="s">
        <v>253</v>
      </c>
      <c r="E13" s="45"/>
      <c r="F13" s="26">
        <v>59.02</v>
      </c>
      <c r="G13" s="45"/>
      <c r="H13" s="26">
        <f t="shared" si="2"/>
        <v>3340.67</v>
      </c>
      <c r="I13" s="175">
        <f>F13*4</f>
        <v>236.08</v>
      </c>
      <c r="J13" s="46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ht="15.75" customHeight="1">
      <c r="A14" s="24" t="s">
        <v>65</v>
      </c>
      <c r="B14" s="52"/>
      <c r="C14" s="52"/>
      <c r="D14" s="60" t="s">
        <v>228</v>
      </c>
      <c r="E14" s="52"/>
      <c r="F14" s="26">
        <v>40.75</v>
      </c>
      <c r="G14" s="52"/>
      <c r="H14" s="26">
        <f t="shared" si="2"/>
        <v>3299.92</v>
      </c>
      <c r="I14" s="175">
        <f>F14*5</f>
        <v>203.75</v>
      </c>
      <c r="J14" s="53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ht="15.75" customHeight="1">
      <c r="A15" s="54" t="s">
        <v>70</v>
      </c>
      <c r="B15" s="19"/>
      <c r="C15" s="19"/>
      <c r="D15" s="19"/>
      <c r="E15" s="19"/>
      <c r="F15" s="19"/>
      <c r="G15" s="19"/>
      <c r="H15" s="19"/>
      <c r="I15" s="19"/>
      <c r="J15" s="20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ht="15.75" customHeight="1">
      <c r="A16" s="24" t="s">
        <v>71</v>
      </c>
      <c r="B16" s="38" t="s">
        <v>72</v>
      </c>
      <c r="C16" s="38" t="s">
        <v>46</v>
      </c>
      <c r="D16" s="60" t="s">
        <v>198</v>
      </c>
      <c r="E16" s="39" t="s">
        <v>74</v>
      </c>
      <c r="F16" s="26">
        <v>33.67</v>
      </c>
      <c r="G16" s="40" t="s">
        <v>154</v>
      </c>
      <c r="H16" s="26">
        <f>H14-F16</f>
        <v>3266.25</v>
      </c>
      <c r="I16" s="175">
        <f t="shared" ref="I16:I17" si="3">F16*9</f>
        <v>303.03</v>
      </c>
      <c r="J16" s="41">
        <f>SUM(F16:F17)</f>
        <v>59.67</v>
      </c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ht="15.75" customHeight="1">
      <c r="A17" s="24" t="s">
        <v>75</v>
      </c>
      <c r="B17" s="52"/>
      <c r="C17" s="52"/>
      <c r="D17" s="60" t="s">
        <v>198</v>
      </c>
      <c r="E17" s="52"/>
      <c r="F17" s="26">
        <v>26.0</v>
      </c>
      <c r="G17" s="52"/>
      <c r="H17" s="26">
        <f>H16-F17</f>
        <v>3240.25</v>
      </c>
      <c r="I17" s="175">
        <f t="shared" si="3"/>
        <v>234</v>
      </c>
      <c r="J17" s="53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ht="15.75" customHeight="1">
      <c r="A18" s="54" t="s">
        <v>76</v>
      </c>
      <c r="B18" s="19"/>
      <c r="C18" s="19"/>
      <c r="D18" s="19"/>
      <c r="E18" s="19"/>
      <c r="F18" s="19"/>
      <c r="G18" s="19"/>
      <c r="H18" s="19"/>
      <c r="I18" s="19"/>
      <c r="J18" s="20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ht="15.75" customHeight="1">
      <c r="A19" s="59" t="s">
        <v>231</v>
      </c>
      <c r="B19" s="25" t="s">
        <v>78</v>
      </c>
      <c r="C19" s="25" t="s">
        <v>46</v>
      </c>
      <c r="D19" s="25" t="s">
        <v>22</v>
      </c>
      <c r="E19" s="60" t="s">
        <v>74</v>
      </c>
      <c r="F19" s="28">
        <v>0.0</v>
      </c>
      <c r="G19" s="27" t="s">
        <v>154</v>
      </c>
      <c r="H19" s="26">
        <f>H17-F19</f>
        <v>3240.25</v>
      </c>
      <c r="I19" s="176"/>
      <c r="J19" s="177">
        <f>SUM(F19)</f>
        <v>0</v>
      </c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ht="15.75" customHeight="1">
      <c r="A20" s="54" t="s">
        <v>94</v>
      </c>
      <c r="B20" s="19"/>
      <c r="C20" s="19"/>
      <c r="D20" s="19"/>
      <c r="E20" s="19"/>
      <c r="F20" s="19"/>
      <c r="G20" s="19"/>
      <c r="H20" s="19"/>
      <c r="I20" s="19"/>
      <c r="J20" s="20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</row>
    <row r="21" ht="15.75" customHeight="1">
      <c r="A21" s="24" t="s">
        <v>112</v>
      </c>
      <c r="B21" s="38"/>
      <c r="C21" s="38"/>
      <c r="D21" s="60" t="s">
        <v>66</v>
      </c>
      <c r="E21" s="39"/>
      <c r="F21" s="26">
        <v>25.98</v>
      </c>
      <c r="G21" s="40"/>
      <c r="H21" s="26">
        <f>H19-F21</f>
        <v>3214.27</v>
      </c>
      <c r="I21" s="176">
        <f t="shared" ref="I21:I22" si="4">F21*10</f>
        <v>259.8</v>
      </c>
      <c r="J21" s="195"/>
      <c r="K21" s="11"/>
      <c r="L21" s="203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ht="15.75" customHeight="1">
      <c r="A22" s="24" t="s">
        <v>115</v>
      </c>
      <c r="B22" s="45"/>
      <c r="C22" s="45"/>
      <c r="D22" s="60" t="s">
        <v>66</v>
      </c>
      <c r="E22" s="45"/>
      <c r="F22" s="26">
        <v>133.37</v>
      </c>
      <c r="G22" s="45"/>
      <c r="H22" s="26">
        <f t="shared" ref="H22:H25" si="5">H21-F22</f>
        <v>3080.9</v>
      </c>
      <c r="I22" s="176">
        <f t="shared" si="4"/>
        <v>1333.7</v>
      </c>
      <c r="J22" s="46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ht="15.75" customHeight="1">
      <c r="A23" s="24" t="s">
        <v>116</v>
      </c>
      <c r="B23" s="45"/>
      <c r="C23" s="45"/>
      <c r="D23" s="60" t="s">
        <v>228</v>
      </c>
      <c r="E23" s="45"/>
      <c r="F23" s="26">
        <v>133.33</v>
      </c>
      <c r="G23" s="45"/>
      <c r="H23" s="26">
        <f t="shared" si="5"/>
        <v>2947.57</v>
      </c>
      <c r="I23" s="176">
        <f t="shared" ref="I23:I24" si="6">F23*5</f>
        <v>666.65</v>
      </c>
      <c r="J23" s="46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ht="15.75" customHeight="1">
      <c r="A24" s="24" t="s">
        <v>120</v>
      </c>
      <c r="B24" s="45"/>
      <c r="C24" s="45"/>
      <c r="D24" s="60" t="s">
        <v>228</v>
      </c>
      <c r="E24" s="45"/>
      <c r="F24" s="26">
        <v>57.99</v>
      </c>
      <c r="G24" s="45"/>
      <c r="H24" s="26">
        <f t="shared" si="5"/>
        <v>2889.58</v>
      </c>
      <c r="I24" s="176">
        <f t="shared" si="6"/>
        <v>289.95</v>
      </c>
      <c r="J24" s="46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ht="15.75" customHeight="1">
      <c r="A25" s="24" t="s">
        <v>121</v>
      </c>
      <c r="B25" s="52"/>
      <c r="C25" s="52"/>
      <c r="D25" s="60" t="s">
        <v>228</v>
      </c>
      <c r="E25" s="52"/>
      <c r="F25" s="26">
        <v>16.62</v>
      </c>
      <c r="G25" s="52"/>
      <c r="H25" s="26">
        <f t="shared" si="5"/>
        <v>2872.96</v>
      </c>
      <c r="I25" s="176">
        <f>F25+5</f>
        <v>21.62</v>
      </c>
      <c r="J25" s="53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</row>
    <row r="26" ht="15.75" customHeight="1">
      <c r="A26" s="54" t="s">
        <v>126</v>
      </c>
      <c r="B26" s="19"/>
      <c r="C26" s="19"/>
      <c r="D26" s="19"/>
      <c r="E26" s="19"/>
      <c r="F26" s="19"/>
      <c r="G26" s="19"/>
      <c r="H26" s="19"/>
      <c r="I26" s="19"/>
      <c r="J26" s="20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</row>
    <row r="27" ht="15.75" customHeight="1">
      <c r="A27" s="24" t="s">
        <v>127</v>
      </c>
      <c r="B27" s="38" t="s">
        <v>128</v>
      </c>
      <c r="C27" s="38" t="s">
        <v>46</v>
      </c>
      <c r="D27" s="60" t="s">
        <v>254</v>
      </c>
      <c r="E27" s="39" t="s">
        <v>74</v>
      </c>
      <c r="F27" s="26">
        <v>81.66</v>
      </c>
      <c r="G27" s="40" t="s">
        <v>154</v>
      </c>
      <c r="H27" s="26">
        <f>H25-F27</f>
        <v>2791.3</v>
      </c>
      <c r="I27" s="176">
        <f>F27*8</f>
        <v>653.28</v>
      </c>
      <c r="J27" s="55">
        <f>SUM(F27:F29)</f>
        <v>285.14</v>
      </c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</row>
    <row r="28" ht="15.75" customHeight="1">
      <c r="A28" s="24" t="s">
        <v>120</v>
      </c>
      <c r="B28" s="45"/>
      <c r="C28" s="45"/>
      <c r="D28" s="60" t="s">
        <v>228</v>
      </c>
      <c r="E28" s="45"/>
      <c r="F28" s="26">
        <v>57.99</v>
      </c>
      <c r="G28" s="45"/>
      <c r="H28" s="26">
        <f t="shared" ref="H28:H29" si="7">H27-F28</f>
        <v>2733.31</v>
      </c>
      <c r="I28" s="176">
        <f>F28*5</f>
        <v>289.95</v>
      </c>
      <c r="J28" s="46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</row>
    <row r="29" ht="15.75" customHeight="1">
      <c r="A29" s="197" t="s">
        <v>131</v>
      </c>
      <c r="B29" s="52"/>
      <c r="C29" s="52"/>
      <c r="D29" s="198" t="s">
        <v>66</v>
      </c>
      <c r="E29" s="52"/>
      <c r="F29" s="199">
        <v>145.49</v>
      </c>
      <c r="G29" s="52"/>
      <c r="H29" s="200">
        <f t="shared" si="7"/>
        <v>2587.82</v>
      </c>
      <c r="I29" s="201">
        <f>F29*10</f>
        <v>1454.9</v>
      </c>
      <c r="J29" s="53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</row>
    <row r="30" ht="15.75" customHeight="1">
      <c r="A30" s="54" t="s">
        <v>132</v>
      </c>
      <c r="B30" s="19"/>
      <c r="C30" s="19"/>
      <c r="D30" s="19"/>
      <c r="E30" s="19"/>
      <c r="F30" s="19"/>
      <c r="G30" s="19"/>
      <c r="H30" s="19"/>
      <c r="I30" s="19"/>
      <c r="J30" s="20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</row>
    <row r="31" ht="15.75" customHeight="1">
      <c r="A31" s="59" t="s">
        <v>213</v>
      </c>
      <c r="B31" s="38" t="s">
        <v>133</v>
      </c>
      <c r="C31" s="38" t="s">
        <v>46</v>
      </c>
      <c r="D31" s="60" t="s">
        <v>66</v>
      </c>
      <c r="E31" s="39" t="s">
        <v>134</v>
      </c>
      <c r="F31" s="57">
        <v>68.42</v>
      </c>
      <c r="G31" s="40" t="s">
        <v>154</v>
      </c>
      <c r="H31" s="26">
        <f>H29-F31</f>
        <v>2519.4</v>
      </c>
      <c r="I31" s="176">
        <f t="shared" ref="I31:I34" si="8">F31*10</f>
        <v>684.2</v>
      </c>
      <c r="J31" s="58">
        <f>SUM(F31:F33)</f>
        <v>136.22</v>
      </c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 ht="15.75" customHeight="1">
      <c r="A32" s="59" t="s">
        <v>214</v>
      </c>
      <c r="B32" s="45"/>
      <c r="C32" s="45"/>
      <c r="D32" s="60" t="s">
        <v>66</v>
      </c>
      <c r="E32" s="45"/>
      <c r="F32" s="57">
        <v>40.68</v>
      </c>
      <c r="G32" s="45"/>
      <c r="H32" s="26">
        <f t="shared" ref="H32:H34" si="9">H31-F32</f>
        <v>2478.72</v>
      </c>
      <c r="I32" s="176">
        <f t="shared" si="8"/>
        <v>406.8</v>
      </c>
      <c r="J32" s="46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 ht="15.75" customHeight="1">
      <c r="A33" s="59" t="s">
        <v>215</v>
      </c>
      <c r="B33" s="45"/>
      <c r="C33" s="45"/>
      <c r="D33" s="60" t="s">
        <v>66</v>
      </c>
      <c r="E33" s="45"/>
      <c r="F33" s="57">
        <v>27.12</v>
      </c>
      <c r="G33" s="45"/>
      <c r="H33" s="26">
        <f t="shared" si="9"/>
        <v>2451.6</v>
      </c>
      <c r="I33" s="176">
        <f t="shared" si="8"/>
        <v>271.2</v>
      </c>
      <c r="J33" s="46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 ht="15.75" customHeight="1">
      <c r="A34" s="59" t="s">
        <v>225</v>
      </c>
      <c r="B34" s="52"/>
      <c r="C34" s="52"/>
      <c r="D34" s="60" t="s">
        <v>247</v>
      </c>
      <c r="E34" s="52"/>
      <c r="F34" s="57">
        <v>57.86</v>
      </c>
      <c r="G34" s="52"/>
      <c r="H34" s="26">
        <f t="shared" si="9"/>
        <v>2393.74</v>
      </c>
      <c r="I34" s="176">
        <f t="shared" si="8"/>
        <v>578.6</v>
      </c>
      <c r="J34" s="53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 ht="15.75" customHeight="1">
      <c r="A35" s="54" t="s">
        <v>138</v>
      </c>
      <c r="B35" s="19"/>
      <c r="C35" s="19"/>
      <c r="D35" s="19"/>
      <c r="E35" s="19"/>
      <c r="F35" s="19"/>
      <c r="G35" s="19"/>
      <c r="H35" s="19"/>
      <c r="I35" s="19"/>
      <c r="J35" s="20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ht="15.75" customHeight="1">
      <c r="A36" s="24" t="s">
        <v>139</v>
      </c>
      <c r="B36" s="25" t="s">
        <v>140</v>
      </c>
      <c r="C36" s="25" t="s">
        <v>35</v>
      </c>
      <c r="D36" s="25" t="s">
        <v>22</v>
      </c>
      <c r="E36" s="60" t="s">
        <v>74</v>
      </c>
      <c r="F36" s="26">
        <v>856.34</v>
      </c>
      <c r="G36" s="27" t="s">
        <v>154</v>
      </c>
      <c r="H36" s="26">
        <f>H34-F36</f>
        <v>1537.4</v>
      </c>
      <c r="I36" s="169"/>
      <c r="J36" s="29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 ht="15.75" customHeight="1">
      <c r="A37" s="59" t="s">
        <v>141</v>
      </c>
      <c r="B37" s="60" t="s">
        <v>22</v>
      </c>
      <c r="C37" s="62"/>
      <c r="D37" s="60"/>
      <c r="E37" s="60" t="s">
        <v>22</v>
      </c>
      <c r="F37" s="28">
        <v>90.0</v>
      </c>
      <c r="G37" s="27" t="s">
        <v>154</v>
      </c>
      <c r="H37" s="28">
        <f t="shared" ref="H37:H42" si="10">H36-F37</f>
        <v>1447.4</v>
      </c>
      <c r="I37" s="169"/>
      <c r="J37" s="29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 ht="15.75" customHeight="1">
      <c r="A38" s="59" t="s">
        <v>152</v>
      </c>
      <c r="B38" s="60" t="s">
        <v>22</v>
      </c>
      <c r="C38" s="25" t="s">
        <v>148</v>
      </c>
      <c r="D38" s="60" t="s">
        <v>22</v>
      </c>
      <c r="E38" s="60" t="s">
        <v>22</v>
      </c>
      <c r="F38" s="57">
        <v>150.0</v>
      </c>
      <c r="G38" s="27" t="s">
        <v>154</v>
      </c>
      <c r="H38" s="28">
        <f t="shared" si="10"/>
        <v>1297.4</v>
      </c>
      <c r="I38" s="169"/>
      <c r="J38" s="29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</row>
    <row r="39" ht="15.75" customHeight="1">
      <c r="A39" s="24" t="s">
        <v>142</v>
      </c>
      <c r="B39" s="25" t="s">
        <v>143</v>
      </c>
      <c r="C39" s="62" t="s">
        <v>144</v>
      </c>
      <c r="D39" s="60" t="s">
        <v>22</v>
      </c>
      <c r="E39" s="60" t="s">
        <v>145</v>
      </c>
      <c r="F39" s="26">
        <v>40.9</v>
      </c>
      <c r="G39" s="27" t="s">
        <v>154</v>
      </c>
      <c r="H39" s="26">
        <f t="shared" si="10"/>
        <v>1256.5</v>
      </c>
      <c r="I39" s="169"/>
      <c r="J39" s="29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</row>
    <row r="40" ht="15.75" customHeight="1">
      <c r="A40" s="24" t="s">
        <v>146</v>
      </c>
      <c r="B40" s="25" t="s">
        <v>147</v>
      </c>
      <c r="C40" s="25" t="s">
        <v>148</v>
      </c>
      <c r="D40" s="60" t="s">
        <v>22</v>
      </c>
      <c r="E40" s="27" t="s">
        <v>74</v>
      </c>
      <c r="F40" s="26">
        <v>100.0</v>
      </c>
      <c r="G40" s="27" t="s">
        <v>154</v>
      </c>
      <c r="H40" s="26">
        <f t="shared" si="10"/>
        <v>1156.5</v>
      </c>
      <c r="I40" s="169"/>
      <c r="J40" s="29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  <row r="41" ht="15.75" customHeight="1">
      <c r="A41" s="24" t="s">
        <v>189</v>
      </c>
      <c r="B41" s="25" t="s">
        <v>109</v>
      </c>
      <c r="C41" s="25" t="s">
        <v>148</v>
      </c>
      <c r="D41" s="60" t="s">
        <v>22</v>
      </c>
      <c r="E41" s="60" t="s">
        <v>22</v>
      </c>
      <c r="F41" s="56">
        <f>14*22</f>
        <v>308</v>
      </c>
      <c r="G41" s="27" t="s">
        <v>154</v>
      </c>
      <c r="H41" s="26">
        <f t="shared" si="10"/>
        <v>848.5</v>
      </c>
      <c r="I41" s="169"/>
      <c r="J41" s="29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</row>
    <row r="42" ht="15.75" customHeight="1">
      <c r="A42" s="24" t="s">
        <v>150</v>
      </c>
      <c r="B42" s="25" t="s">
        <v>151</v>
      </c>
      <c r="C42" s="25" t="s">
        <v>148</v>
      </c>
      <c r="D42" s="60" t="s">
        <v>22</v>
      </c>
      <c r="E42" s="60" t="s">
        <v>22</v>
      </c>
      <c r="F42" s="56">
        <f>80*2</f>
        <v>160</v>
      </c>
      <c r="G42" s="27" t="s">
        <v>154</v>
      </c>
      <c r="H42" s="26">
        <f t="shared" si="10"/>
        <v>688.5</v>
      </c>
      <c r="I42" s="169"/>
      <c r="J42" s="29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</row>
    <row r="43" ht="15.75" customHeight="1">
      <c r="A43" s="54" t="s">
        <v>155</v>
      </c>
      <c r="B43" s="19"/>
      <c r="C43" s="19"/>
      <c r="D43" s="19"/>
      <c r="E43" s="19"/>
      <c r="F43" s="19"/>
      <c r="G43" s="19"/>
      <c r="H43" s="19"/>
      <c r="I43" s="19"/>
      <c r="J43" s="20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</row>
    <row r="44" ht="15.75" customHeight="1">
      <c r="A44" s="59" t="s">
        <v>156</v>
      </c>
      <c r="B44" s="25" t="s">
        <v>157</v>
      </c>
      <c r="C44" s="25" t="s">
        <v>148</v>
      </c>
      <c r="D44" s="60" t="s">
        <v>22</v>
      </c>
      <c r="E44" s="60" t="s">
        <v>22</v>
      </c>
      <c r="F44" s="28">
        <v>130.0</v>
      </c>
      <c r="G44" s="27" t="s">
        <v>154</v>
      </c>
      <c r="H44" s="26">
        <f>H42-F44</f>
        <v>558.5</v>
      </c>
      <c r="I44" s="169"/>
      <c r="J44" s="29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</row>
    <row r="45" ht="15.75" customHeight="1">
      <c r="A45" s="59" t="s">
        <v>158</v>
      </c>
      <c r="B45" s="25" t="s">
        <v>109</v>
      </c>
      <c r="C45" s="25" t="s">
        <v>148</v>
      </c>
      <c r="D45" s="60" t="s">
        <v>22</v>
      </c>
      <c r="E45" s="60" t="s">
        <v>22</v>
      </c>
      <c r="F45" s="28">
        <f>8*60</f>
        <v>480</v>
      </c>
      <c r="G45" s="27" t="s">
        <v>154</v>
      </c>
      <c r="H45" s="26">
        <f t="shared" ref="H45:H47" si="11">H44-F45</f>
        <v>78.5</v>
      </c>
      <c r="I45" s="169"/>
      <c r="J45" s="29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</row>
    <row r="46" ht="15.75" customHeight="1">
      <c r="A46" s="59" t="s">
        <v>159</v>
      </c>
      <c r="B46" s="60" t="s">
        <v>160</v>
      </c>
      <c r="C46" s="25" t="s">
        <v>148</v>
      </c>
      <c r="D46" s="60" t="s">
        <v>22</v>
      </c>
      <c r="E46" s="60" t="s">
        <v>22</v>
      </c>
      <c r="F46" s="28">
        <v>70.0</v>
      </c>
      <c r="G46" s="27" t="s">
        <v>154</v>
      </c>
      <c r="H46" s="26">
        <f t="shared" si="11"/>
        <v>8.5</v>
      </c>
      <c r="I46" s="169"/>
      <c r="J46" s="29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</row>
    <row r="47" ht="15.75" customHeight="1">
      <c r="A47" s="59" t="s">
        <v>161</v>
      </c>
      <c r="B47" s="60" t="s">
        <v>22</v>
      </c>
      <c r="C47" s="25" t="s">
        <v>148</v>
      </c>
      <c r="D47" s="60" t="s">
        <v>22</v>
      </c>
      <c r="E47" s="60" t="s">
        <v>22</v>
      </c>
      <c r="F47" s="28">
        <v>0.0</v>
      </c>
      <c r="G47" s="27" t="s">
        <v>154</v>
      </c>
      <c r="H47" s="28">
        <f t="shared" si="11"/>
        <v>8.5</v>
      </c>
      <c r="I47" s="169"/>
      <c r="J47" s="29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</row>
    <row r="48" ht="15.75" customHeight="1">
      <c r="A48" s="63" t="s">
        <v>162</v>
      </c>
      <c r="B48" s="64"/>
      <c r="C48" s="64"/>
      <c r="D48" s="64"/>
      <c r="E48" s="65"/>
      <c r="F48" s="186">
        <f>H46</f>
        <v>8.5</v>
      </c>
      <c r="G48" s="23"/>
      <c r="H48" s="23"/>
      <c r="I48" s="202">
        <f>I11+I12+I13+I14+I16+I17+I21+I22+I23+I24+I25+I27+I28+I29+I31+I32+I33+I34</f>
        <v>11505.61</v>
      </c>
      <c r="J48" s="23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</row>
    <row r="49" ht="15.75" customHeight="1">
      <c r="A49" s="12"/>
      <c r="B49" s="12"/>
      <c r="C49" s="12"/>
      <c r="D49" s="12"/>
      <c r="E49" s="12"/>
      <c r="F49" s="12"/>
      <c r="G49" s="12"/>
      <c r="H49" s="51"/>
      <c r="I49" s="12"/>
      <c r="J49" s="12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</row>
    <row r="50" ht="15.75" customHeight="1">
      <c r="A50" s="67" t="s">
        <v>163</v>
      </c>
      <c r="B50" s="68"/>
      <c r="C50" s="69">
        <f>F48</f>
        <v>8.5</v>
      </c>
      <c r="D50" s="70" t="s">
        <v>164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</row>
    <row r="51" ht="15.75" customHeight="1">
      <c r="A51" s="72" t="s">
        <v>165</v>
      </c>
      <c r="B51" s="19"/>
      <c r="C51" s="19"/>
      <c r="D51" s="20"/>
      <c r="E51" s="11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 ht="15.75" customHeight="1">
      <c r="A52" s="30" t="s">
        <v>167</v>
      </c>
      <c r="B52" s="73">
        <v>0.0</v>
      </c>
      <c r="C52" s="73">
        <f>C50-B52</f>
        <v>8.5</v>
      </c>
      <c r="D52" s="74" t="b">
        <v>0</v>
      </c>
      <c r="E52" s="11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</row>
    <row r="53" ht="15.75" customHeight="1">
      <c r="A53" s="30" t="s">
        <v>169</v>
      </c>
      <c r="B53" s="73">
        <v>0.0</v>
      </c>
      <c r="C53" s="73">
        <f>C52-B53</f>
        <v>8.5</v>
      </c>
      <c r="D53" s="74" t="b">
        <v>0</v>
      </c>
      <c r="E53" s="11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</row>
    <row r="54" ht="15.75" customHeight="1">
      <c r="A54" s="76" t="s">
        <v>171</v>
      </c>
      <c r="B54" s="19"/>
      <c r="C54" s="19"/>
      <c r="D54" s="20"/>
      <c r="E54" s="11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</row>
    <row r="55" ht="15.75" customHeight="1">
      <c r="A55" s="30" t="s">
        <v>173</v>
      </c>
      <c r="B55" s="73">
        <v>0.0</v>
      </c>
      <c r="C55" s="73">
        <f>C54-B55</f>
        <v>0</v>
      </c>
      <c r="D55" s="74" t="b">
        <v>0</v>
      </c>
      <c r="E55" s="11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</row>
    <row r="56" ht="15.75" customHeight="1">
      <c r="A56" s="30" t="s">
        <v>174</v>
      </c>
      <c r="B56" s="73">
        <v>0.0</v>
      </c>
      <c r="C56" s="73">
        <f>C54-B56</f>
        <v>0</v>
      </c>
      <c r="D56" s="74" t="b">
        <v>0</v>
      </c>
      <c r="E56" s="11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</row>
    <row r="57" ht="15.75" customHeight="1">
      <c r="A57" s="76" t="s">
        <v>175</v>
      </c>
      <c r="B57" s="19"/>
      <c r="C57" s="19"/>
      <c r="D57" s="20"/>
      <c r="E57" s="11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</row>
    <row r="58" ht="15.75" customHeight="1">
      <c r="A58" s="30" t="s">
        <v>176</v>
      </c>
      <c r="B58" s="73">
        <v>0.0</v>
      </c>
      <c r="C58" s="73">
        <f>C56-B58</f>
        <v>0</v>
      </c>
      <c r="D58" s="74" t="b">
        <v>0</v>
      </c>
      <c r="E58" s="11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</row>
    <row r="59" ht="15.75" customHeight="1">
      <c r="A59" s="30" t="s">
        <v>177</v>
      </c>
      <c r="B59" s="73">
        <v>0.0</v>
      </c>
      <c r="C59" s="73">
        <f>C58-B59</f>
        <v>0</v>
      </c>
      <c r="D59" s="74" t="b">
        <v>0</v>
      </c>
      <c r="E59" s="11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 ht="15.75" customHeight="1">
      <c r="A60" s="76" t="s">
        <v>178</v>
      </c>
      <c r="B60" s="19"/>
      <c r="C60" s="19"/>
      <c r="D60" s="20"/>
      <c r="E60" s="11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ht="15.75" customHeight="1">
      <c r="A61" s="30" t="s">
        <v>179</v>
      </c>
      <c r="B61" s="73">
        <v>0.0</v>
      </c>
      <c r="C61" s="73">
        <f>C60-B61</f>
        <v>0</v>
      </c>
      <c r="D61" s="74" t="b">
        <v>0</v>
      </c>
      <c r="E61" s="11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ht="15.75" customHeight="1">
      <c r="A62" s="30" t="s">
        <v>180</v>
      </c>
      <c r="B62" s="73">
        <v>0.0</v>
      </c>
      <c r="C62" s="73">
        <f>C60-B62</f>
        <v>0</v>
      </c>
      <c r="D62" s="74" t="b">
        <v>0</v>
      </c>
      <c r="E62" s="11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</row>
    <row r="63" ht="15.75" customHeight="1">
      <c r="A63" s="30" t="s">
        <v>181</v>
      </c>
      <c r="B63" s="73">
        <v>0.0</v>
      </c>
      <c r="C63" s="73">
        <f>C62-B63</f>
        <v>0</v>
      </c>
      <c r="D63" s="74" t="b">
        <v>0</v>
      </c>
      <c r="E63" s="11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</row>
    <row r="64" ht="15.75" customHeight="1">
      <c r="A64" s="30" t="s">
        <v>182</v>
      </c>
      <c r="B64" s="73">
        <v>0.0</v>
      </c>
      <c r="C64" s="73">
        <f>C62-B64</f>
        <v>0</v>
      </c>
      <c r="D64" s="74" t="b">
        <v>0</v>
      </c>
      <c r="E64" s="11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</row>
    <row r="65" ht="15.75" customHeight="1">
      <c r="A65" s="30" t="s">
        <v>183</v>
      </c>
      <c r="B65" s="73">
        <v>0.0</v>
      </c>
      <c r="C65" s="73">
        <f>C64-B65</f>
        <v>0</v>
      </c>
      <c r="D65" s="74" t="b">
        <v>0</v>
      </c>
      <c r="E65" s="11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</row>
    <row r="66" ht="15.75" customHeight="1">
      <c r="A66" s="30" t="s">
        <v>184</v>
      </c>
      <c r="B66" s="73">
        <v>0.0</v>
      </c>
      <c r="C66" s="73">
        <f>C64-B66</f>
        <v>0</v>
      </c>
      <c r="D66" s="74" t="b">
        <v>0</v>
      </c>
      <c r="E66" s="11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</row>
    <row r="67" ht="15.75" customHeight="1">
      <c r="A67" s="30" t="s">
        <v>185</v>
      </c>
      <c r="B67" s="73">
        <v>0.0</v>
      </c>
      <c r="C67" s="73">
        <f>C66-B67</f>
        <v>0</v>
      </c>
      <c r="D67" s="74" t="b">
        <v>0</v>
      </c>
      <c r="E67" s="11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</row>
    <row r="68" ht="15.75" customHeight="1">
      <c r="A68" s="78" t="s">
        <v>186</v>
      </c>
      <c r="B68" s="79">
        <v>0.0</v>
      </c>
      <c r="C68" s="79">
        <f>C66-B68</f>
        <v>0</v>
      </c>
      <c r="D68" s="80" t="b">
        <v>0</v>
      </c>
      <c r="E68" s="11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</row>
    <row r="69" ht="15.75" customHeight="1">
      <c r="A69" s="81"/>
      <c r="B69" s="47"/>
      <c r="C69" s="47"/>
      <c r="D69" s="47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</row>
    <row r="70" ht="15.75" customHeight="1">
      <c r="A70" s="8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 ht="15.75" customHeight="1">
      <c r="A71" s="8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</row>
    <row r="72" ht="15.75" customHeight="1">
      <c r="A72" s="8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</row>
    <row r="73" ht="15.75" customHeight="1">
      <c r="A73" s="8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</row>
    <row r="74" ht="15.75" customHeight="1">
      <c r="A74" s="8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</row>
    <row r="75" ht="15.75" customHeight="1">
      <c r="A75" s="8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</row>
    <row r="76" ht="15.75" customHeight="1">
      <c r="A76" s="8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</row>
    <row r="77" ht="15.75" customHeight="1">
      <c r="A77" s="8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</row>
    <row r="78" ht="15.75" customHeight="1">
      <c r="A78" s="8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</row>
    <row r="79" ht="15.75" customHeight="1">
      <c r="A79" s="8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</row>
    <row r="80" ht="15.75" customHeight="1">
      <c r="A80" s="8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ht="15.75" customHeight="1">
      <c r="A81" s="8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</row>
    <row r="82" ht="15.75" customHeight="1">
      <c r="A82" s="8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</row>
    <row r="83" ht="15.75" customHeight="1">
      <c r="A83" s="8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</row>
    <row r="84" ht="15.75" customHeight="1">
      <c r="A84" s="8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</row>
    <row r="85" ht="15.75" customHeight="1">
      <c r="A85" s="8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</row>
    <row r="86" ht="15.75" customHeight="1">
      <c r="A86" s="8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</row>
    <row r="87" ht="15.75" customHeight="1">
      <c r="A87" s="8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</row>
    <row r="88" ht="15.75" customHeight="1">
      <c r="A88" s="8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</row>
    <row r="89" ht="15.75" customHeight="1">
      <c r="A89" s="8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</row>
    <row r="90" ht="15.75" customHeight="1">
      <c r="A90" s="8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</sheetData>
  <mergeCells count="42">
    <mergeCell ref="A1:E1"/>
    <mergeCell ref="L1:Q1"/>
    <mergeCell ref="A3:J3"/>
    <mergeCell ref="A10:J10"/>
    <mergeCell ref="C11:C14"/>
    <mergeCell ref="E11:E14"/>
    <mergeCell ref="A15:J15"/>
    <mergeCell ref="B21:B25"/>
    <mergeCell ref="B27:B29"/>
    <mergeCell ref="C27:C29"/>
    <mergeCell ref="E27:E29"/>
    <mergeCell ref="B31:B34"/>
    <mergeCell ref="C31:C34"/>
    <mergeCell ref="E31:E34"/>
    <mergeCell ref="B11:B14"/>
    <mergeCell ref="B16:B17"/>
    <mergeCell ref="C16:C17"/>
    <mergeCell ref="E16:E17"/>
    <mergeCell ref="C21:C25"/>
    <mergeCell ref="E21:E25"/>
    <mergeCell ref="G21:G25"/>
    <mergeCell ref="J27:J29"/>
    <mergeCell ref="J31:J34"/>
    <mergeCell ref="G11:G14"/>
    <mergeCell ref="J11:J14"/>
    <mergeCell ref="G16:G17"/>
    <mergeCell ref="J16:J17"/>
    <mergeCell ref="J21:J25"/>
    <mergeCell ref="G27:G29"/>
    <mergeCell ref="G31:G34"/>
    <mergeCell ref="A50:B50"/>
    <mergeCell ref="A51:D51"/>
    <mergeCell ref="A54:D54"/>
    <mergeCell ref="A57:D57"/>
    <mergeCell ref="A60:D60"/>
    <mergeCell ref="A18:J18"/>
    <mergeCell ref="A20:J20"/>
    <mergeCell ref="A26:J26"/>
    <mergeCell ref="A30:J30"/>
    <mergeCell ref="A35:J35"/>
    <mergeCell ref="A43:J43"/>
    <mergeCell ref="A48:E48"/>
  </mergeCells>
  <conditionalFormatting sqref="Q4:Q9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G4:G9 G11 G16 G19 G27 G31 G36:G42 G44:G47">
      <formula1>"Pago,Pendente"</formula1>
    </dataValidation>
    <dataValidation type="list" allowBlank="1" showErrorMessage="1" sqref="Q4:Q8">
      <formula1>"Recebido,Pendente"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1.63"/>
    <col customWidth="1" min="2" max="2" width="18.0"/>
    <col customWidth="1" min="3" max="3" width="16.0"/>
    <col customWidth="1" min="4" max="4" width="14.0"/>
    <col customWidth="1" min="5" max="5" width="12.0"/>
    <col customWidth="1" min="6" max="6" width="14.0"/>
    <col customWidth="1" min="7" max="7" width="12.75"/>
    <col customWidth="1" min="8" max="10" width="16.0"/>
    <col customWidth="1" min="11" max="11" width="9.13"/>
    <col customWidth="1" min="12" max="12" width="28.0"/>
    <col customWidth="1" min="13" max="15" width="14.0"/>
    <col customWidth="1" min="16" max="16" width="18.0"/>
    <col customWidth="1" min="17" max="17" width="17.63"/>
  </cols>
  <sheetData>
    <row r="1" ht="15.75" customHeight="1">
      <c r="A1" s="1" t="s">
        <v>255</v>
      </c>
      <c r="B1" s="2"/>
      <c r="C1" s="2"/>
      <c r="D1" s="2"/>
      <c r="E1" s="3"/>
      <c r="F1" s="4" t="s">
        <v>1</v>
      </c>
      <c r="G1" s="5"/>
      <c r="H1" s="50">
        <f>M9</f>
        <v>6240</v>
      </c>
      <c r="I1" s="167"/>
      <c r="J1" s="7"/>
      <c r="K1" s="8"/>
      <c r="L1" s="9" t="s">
        <v>2</v>
      </c>
      <c r="M1" s="2"/>
      <c r="N1" s="2"/>
      <c r="O1" s="2"/>
      <c r="P1" s="2"/>
      <c r="Q1" s="10"/>
      <c r="R1" s="11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5.75" customHeight="1">
      <c r="A2" s="13" t="s">
        <v>3</v>
      </c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68" t="s">
        <v>192</v>
      </c>
      <c r="J2" s="15" t="s">
        <v>11</v>
      </c>
      <c r="K2" s="8"/>
      <c r="L2" s="13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5" t="s">
        <v>17</v>
      </c>
      <c r="R2" s="16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</row>
    <row r="3" ht="15.75" customHeight="1">
      <c r="A3" s="54" t="s">
        <v>227</v>
      </c>
      <c r="B3" s="19"/>
      <c r="C3" s="19"/>
      <c r="D3" s="19"/>
      <c r="E3" s="19"/>
      <c r="F3" s="19"/>
      <c r="G3" s="19"/>
      <c r="H3" s="19"/>
      <c r="I3" s="19"/>
      <c r="J3" s="20"/>
      <c r="K3" s="8"/>
      <c r="L3" s="21"/>
      <c r="M3" s="22"/>
      <c r="N3" s="22"/>
      <c r="O3" s="22"/>
      <c r="P3" s="22"/>
      <c r="Q3" s="23"/>
      <c r="R3" s="11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</row>
    <row r="4" ht="15.75" customHeight="1">
      <c r="A4" s="24" t="s">
        <v>19</v>
      </c>
      <c r="B4" s="25" t="s">
        <v>20</v>
      </c>
      <c r="C4" s="25" t="s">
        <v>21</v>
      </c>
      <c r="D4" s="25" t="s">
        <v>22</v>
      </c>
      <c r="E4" s="25" t="s">
        <v>22</v>
      </c>
      <c r="F4" s="26">
        <v>65.0</v>
      </c>
      <c r="G4" s="27" t="s">
        <v>154</v>
      </c>
      <c r="H4" s="26">
        <f>H1-F4</f>
        <v>6175</v>
      </c>
      <c r="I4" s="169"/>
      <c r="J4" s="29"/>
      <c r="K4" s="8"/>
      <c r="L4" s="30" t="s">
        <v>24</v>
      </c>
      <c r="M4" s="31">
        <v>2540.0</v>
      </c>
      <c r="N4" s="31">
        <v>580.0</v>
      </c>
      <c r="O4" s="31">
        <v>264.0</v>
      </c>
      <c r="P4" s="32">
        <v>5.0</v>
      </c>
      <c r="Q4" s="33" t="s">
        <v>154</v>
      </c>
      <c r="R4" s="11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ht="15.75" customHeight="1">
      <c r="A5" s="24" t="s">
        <v>26</v>
      </c>
      <c r="B5" s="25" t="s">
        <v>27</v>
      </c>
      <c r="C5" s="25" t="s">
        <v>28</v>
      </c>
      <c r="D5" s="25" t="s">
        <v>22</v>
      </c>
      <c r="E5" s="25">
        <v>7.0</v>
      </c>
      <c r="F5" s="26">
        <v>1371.16</v>
      </c>
      <c r="G5" s="27" t="s">
        <v>154</v>
      </c>
      <c r="H5" s="26">
        <f t="shared" ref="H5:H9" si="1">H4-F5</f>
        <v>4803.84</v>
      </c>
      <c r="I5" s="169"/>
      <c r="J5" s="29"/>
      <c r="K5" s="8"/>
      <c r="L5" s="30" t="s">
        <v>29</v>
      </c>
      <c r="M5" s="31">
        <v>2000.0</v>
      </c>
      <c r="N5" s="34" t="s">
        <v>22</v>
      </c>
      <c r="O5" s="34" t="s">
        <v>22</v>
      </c>
      <c r="P5" s="32">
        <v>10.0</v>
      </c>
      <c r="Q5" s="33" t="s">
        <v>154</v>
      </c>
      <c r="R5" s="11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</row>
    <row r="6" ht="15.75" customHeight="1">
      <c r="A6" s="24" t="s">
        <v>30</v>
      </c>
      <c r="B6" s="25" t="s">
        <v>31</v>
      </c>
      <c r="C6" s="25" t="s">
        <v>28</v>
      </c>
      <c r="D6" s="25" t="s">
        <v>22</v>
      </c>
      <c r="E6" s="25">
        <v>7.0</v>
      </c>
      <c r="F6" s="26">
        <v>473.45</v>
      </c>
      <c r="G6" s="27" t="s">
        <v>154</v>
      </c>
      <c r="H6" s="26">
        <f t="shared" si="1"/>
        <v>4330.39</v>
      </c>
      <c r="I6" s="169"/>
      <c r="J6" s="29"/>
      <c r="K6" s="8"/>
      <c r="L6" s="30" t="s">
        <v>32</v>
      </c>
      <c r="M6" s="31">
        <v>400.0</v>
      </c>
      <c r="N6" s="34" t="s">
        <v>22</v>
      </c>
      <c r="O6" s="34" t="s">
        <v>22</v>
      </c>
      <c r="P6" s="32">
        <v>10.0</v>
      </c>
      <c r="Q6" s="33" t="s">
        <v>154</v>
      </c>
      <c r="R6" s="11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ht="15.75" customHeight="1">
      <c r="A7" s="24" t="s">
        <v>33</v>
      </c>
      <c r="B7" s="25" t="s">
        <v>34</v>
      </c>
      <c r="C7" s="25" t="s">
        <v>35</v>
      </c>
      <c r="D7" s="25" t="s">
        <v>22</v>
      </c>
      <c r="E7" s="25">
        <v>20.0</v>
      </c>
      <c r="F7" s="26">
        <v>127.99</v>
      </c>
      <c r="G7" s="27" t="s">
        <v>154</v>
      </c>
      <c r="H7" s="26">
        <f t="shared" si="1"/>
        <v>4202.4</v>
      </c>
      <c r="I7" s="169"/>
      <c r="J7" s="29"/>
      <c r="K7" s="188" t="s">
        <v>239</v>
      </c>
      <c r="L7" s="30" t="s">
        <v>39</v>
      </c>
      <c r="M7" s="31">
        <v>500.0</v>
      </c>
      <c r="N7" s="34" t="s">
        <v>22</v>
      </c>
      <c r="O7" s="34" t="s">
        <v>22</v>
      </c>
      <c r="P7" s="32">
        <v>10.0</v>
      </c>
      <c r="Q7" s="33" t="s">
        <v>154</v>
      </c>
      <c r="R7" s="11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</row>
    <row r="8" ht="15.75" customHeight="1">
      <c r="A8" s="24" t="s">
        <v>37</v>
      </c>
      <c r="B8" s="25" t="s">
        <v>38</v>
      </c>
      <c r="C8" s="25" t="s">
        <v>35</v>
      </c>
      <c r="D8" s="25" t="s">
        <v>22</v>
      </c>
      <c r="E8" s="25">
        <v>10.0</v>
      </c>
      <c r="F8" s="26">
        <v>40.91</v>
      </c>
      <c r="G8" s="27" t="s">
        <v>154</v>
      </c>
      <c r="H8" s="26">
        <f t="shared" si="1"/>
        <v>4161.49</v>
      </c>
      <c r="I8" s="169"/>
      <c r="J8" s="29"/>
      <c r="K8" s="8"/>
      <c r="L8" s="30" t="s">
        <v>42</v>
      </c>
      <c r="M8" s="170">
        <v>800.0</v>
      </c>
      <c r="N8" s="34" t="s">
        <v>22</v>
      </c>
      <c r="O8" s="34" t="s">
        <v>22</v>
      </c>
      <c r="P8" s="32">
        <v>15.0</v>
      </c>
      <c r="Q8" s="33" t="s">
        <v>154</v>
      </c>
      <c r="R8" s="11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</row>
    <row r="9" ht="15.75" customHeight="1">
      <c r="A9" s="24" t="s">
        <v>40</v>
      </c>
      <c r="B9" s="25" t="s">
        <v>41</v>
      </c>
      <c r="C9" s="25" t="s">
        <v>35</v>
      </c>
      <c r="D9" s="25" t="s">
        <v>22</v>
      </c>
      <c r="E9" s="25">
        <v>17.0</v>
      </c>
      <c r="F9" s="26">
        <v>99.99</v>
      </c>
      <c r="G9" s="27" t="s">
        <v>154</v>
      </c>
      <c r="H9" s="26">
        <f t="shared" si="1"/>
        <v>4061.5</v>
      </c>
      <c r="I9" s="169"/>
      <c r="J9" s="29"/>
      <c r="K9" s="8"/>
      <c r="L9" s="35"/>
      <c r="M9" s="36">
        <f>SUM(M4:M8)</f>
        <v>6240</v>
      </c>
      <c r="N9" s="36"/>
      <c r="O9" s="36"/>
      <c r="P9" s="37"/>
      <c r="Q9" s="23"/>
      <c r="R9" s="11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</row>
    <row r="10" ht="15.75" customHeight="1">
      <c r="A10" s="18" t="s">
        <v>43</v>
      </c>
      <c r="B10" s="19"/>
      <c r="C10" s="19"/>
      <c r="D10" s="19"/>
      <c r="E10" s="19"/>
      <c r="F10" s="19"/>
      <c r="G10" s="19"/>
      <c r="H10" s="19"/>
      <c r="I10" s="19"/>
      <c r="J10" s="20"/>
      <c r="K10" s="8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ht="15.75" customHeight="1">
      <c r="A11" s="24" t="s">
        <v>52</v>
      </c>
      <c r="B11" s="38"/>
      <c r="C11" s="38"/>
      <c r="D11" s="60" t="s">
        <v>64</v>
      </c>
      <c r="E11" s="39"/>
      <c r="F11" s="26">
        <v>286.81</v>
      </c>
      <c r="G11" s="40" t="s">
        <v>154</v>
      </c>
      <c r="H11" s="26">
        <f>H9-F11</f>
        <v>3774.69</v>
      </c>
      <c r="I11" s="175">
        <f>F11*10</f>
        <v>2868.1</v>
      </c>
      <c r="J11" s="41">
        <f>SUM(F11:F12)</f>
        <v>327.56</v>
      </c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ht="15.75" customHeight="1">
      <c r="A12" s="24" t="s">
        <v>65</v>
      </c>
      <c r="B12" s="52"/>
      <c r="C12" s="52"/>
      <c r="D12" s="60" t="s">
        <v>253</v>
      </c>
      <c r="E12" s="52"/>
      <c r="F12" s="26">
        <v>40.75</v>
      </c>
      <c r="G12" s="52"/>
      <c r="H12" s="26">
        <f>H11-F12</f>
        <v>3733.94</v>
      </c>
      <c r="I12" s="175">
        <f>F12*5</f>
        <v>203.75</v>
      </c>
      <c r="J12" s="53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</row>
    <row r="13" ht="15.75" customHeight="1">
      <c r="A13" s="54" t="s">
        <v>70</v>
      </c>
      <c r="B13" s="19"/>
      <c r="C13" s="19"/>
      <c r="D13" s="19"/>
      <c r="E13" s="19"/>
      <c r="F13" s="19"/>
      <c r="G13" s="19"/>
      <c r="H13" s="19"/>
      <c r="I13" s="19"/>
      <c r="J13" s="20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ht="15.75" customHeight="1">
      <c r="A14" s="24" t="s">
        <v>71</v>
      </c>
      <c r="B14" s="38" t="s">
        <v>72</v>
      </c>
      <c r="C14" s="38" t="s">
        <v>46</v>
      </c>
      <c r="D14" s="60" t="s">
        <v>197</v>
      </c>
      <c r="E14" s="39" t="s">
        <v>74</v>
      </c>
      <c r="F14" s="26">
        <v>33.67</v>
      </c>
      <c r="G14" s="40" t="s">
        <v>154</v>
      </c>
      <c r="H14" s="26">
        <f>H12-F14</f>
        <v>3700.27</v>
      </c>
      <c r="I14" s="175">
        <f t="shared" ref="I14:I15" si="2">F14*9</f>
        <v>303.03</v>
      </c>
      <c r="J14" s="41">
        <f>SUM(F14:F15)</f>
        <v>59.67</v>
      </c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ht="15.75" customHeight="1">
      <c r="A15" s="24" t="s">
        <v>75</v>
      </c>
      <c r="B15" s="52"/>
      <c r="C15" s="52"/>
      <c r="D15" s="60" t="s">
        <v>197</v>
      </c>
      <c r="E15" s="52"/>
      <c r="F15" s="26">
        <v>26.0</v>
      </c>
      <c r="G15" s="52"/>
      <c r="H15" s="26">
        <f>H14-F15</f>
        <v>3674.27</v>
      </c>
      <c r="I15" s="175">
        <f t="shared" si="2"/>
        <v>234</v>
      </c>
      <c r="J15" s="53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ht="15.75" customHeight="1">
      <c r="A16" s="54" t="s">
        <v>76</v>
      </c>
      <c r="B16" s="19"/>
      <c r="C16" s="19"/>
      <c r="D16" s="19"/>
      <c r="E16" s="19"/>
      <c r="F16" s="19"/>
      <c r="G16" s="19"/>
      <c r="H16" s="19"/>
      <c r="I16" s="19"/>
      <c r="J16" s="20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ht="15.75" customHeight="1">
      <c r="A17" s="59" t="s">
        <v>231</v>
      </c>
      <c r="B17" s="25" t="s">
        <v>78</v>
      </c>
      <c r="C17" s="25" t="s">
        <v>46</v>
      </c>
      <c r="D17" s="25" t="s">
        <v>22</v>
      </c>
      <c r="E17" s="60" t="s">
        <v>74</v>
      </c>
      <c r="F17" s="28">
        <v>0.0</v>
      </c>
      <c r="G17" s="27" t="s">
        <v>154</v>
      </c>
      <c r="H17" s="26">
        <f>H15-F17</f>
        <v>3674.27</v>
      </c>
      <c r="I17" s="176"/>
      <c r="J17" s="177">
        <f>SUM(F17)</f>
        <v>0</v>
      </c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ht="15.75" customHeight="1">
      <c r="A18" s="54" t="s">
        <v>94</v>
      </c>
      <c r="B18" s="19"/>
      <c r="C18" s="19"/>
      <c r="D18" s="19"/>
      <c r="E18" s="19"/>
      <c r="F18" s="19"/>
      <c r="G18" s="19"/>
      <c r="H18" s="19"/>
      <c r="I18" s="19"/>
      <c r="J18" s="20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ht="15.75" customHeight="1">
      <c r="A19" s="24" t="s">
        <v>112</v>
      </c>
      <c r="B19" s="38"/>
      <c r="C19" s="38"/>
      <c r="D19" s="60" t="s">
        <v>64</v>
      </c>
      <c r="E19" s="39"/>
      <c r="F19" s="26">
        <v>25.98</v>
      </c>
      <c r="G19" s="40"/>
      <c r="H19" s="26">
        <f>H17-F19</f>
        <v>3648.29</v>
      </c>
      <c r="I19" s="176">
        <f t="shared" ref="I19:I20" si="3">F19*10</f>
        <v>259.8</v>
      </c>
      <c r="J19" s="195"/>
      <c r="K19" s="11"/>
      <c r="L19" s="203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ht="15.75" customHeight="1">
      <c r="A20" s="24" t="s">
        <v>115</v>
      </c>
      <c r="B20" s="45"/>
      <c r="C20" s="45"/>
      <c r="D20" s="60" t="s">
        <v>64</v>
      </c>
      <c r="E20" s="45"/>
      <c r="F20" s="26">
        <v>133.37</v>
      </c>
      <c r="G20" s="45"/>
      <c r="H20" s="26">
        <f t="shared" ref="H20:H23" si="4">H19-F20</f>
        <v>3514.92</v>
      </c>
      <c r="I20" s="176">
        <f t="shared" si="3"/>
        <v>1333.7</v>
      </c>
      <c r="J20" s="46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</row>
    <row r="21" ht="15.75" customHeight="1">
      <c r="A21" s="24" t="s">
        <v>116</v>
      </c>
      <c r="B21" s="45"/>
      <c r="C21" s="45"/>
      <c r="D21" s="60" t="s">
        <v>253</v>
      </c>
      <c r="E21" s="45"/>
      <c r="F21" s="26">
        <v>133.33</v>
      </c>
      <c r="G21" s="45"/>
      <c r="H21" s="26">
        <f t="shared" si="4"/>
        <v>3381.59</v>
      </c>
      <c r="I21" s="176">
        <f t="shared" ref="I21:I22" si="5">F21*5</f>
        <v>666.65</v>
      </c>
      <c r="J21" s="46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ht="15.75" customHeight="1">
      <c r="A22" s="24" t="s">
        <v>120</v>
      </c>
      <c r="B22" s="45"/>
      <c r="C22" s="45"/>
      <c r="D22" s="60" t="s">
        <v>253</v>
      </c>
      <c r="E22" s="45"/>
      <c r="F22" s="26">
        <v>57.99</v>
      </c>
      <c r="G22" s="45"/>
      <c r="H22" s="26">
        <f t="shared" si="4"/>
        <v>3323.6</v>
      </c>
      <c r="I22" s="176">
        <f t="shared" si="5"/>
        <v>289.95</v>
      </c>
      <c r="J22" s="46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ht="15.75" customHeight="1">
      <c r="A23" s="24" t="s">
        <v>121</v>
      </c>
      <c r="B23" s="52"/>
      <c r="C23" s="52"/>
      <c r="D23" s="60" t="s">
        <v>253</v>
      </c>
      <c r="E23" s="52"/>
      <c r="F23" s="26">
        <v>16.62</v>
      </c>
      <c r="G23" s="52"/>
      <c r="H23" s="26">
        <f t="shared" si="4"/>
        <v>3306.98</v>
      </c>
      <c r="I23" s="176">
        <f>F23+5</f>
        <v>21.62</v>
      </c>
      <c r="J23" s="53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ht="15.75" customHeight="1">
      <c r="A24" s="54" t="s">
        <v>126</v>
      </c>
      <c r="B24" s="19"/>
      <c r="C24" s="19"/>
      <c r="D24" s="19"/>
      <c r="E24" s="19"/>
      <c r="F24" s="19"/>
      <c r="G24" s="19"/>
      <c r="H24" s="19"/>
      <c r="I24" s="19"/>
      <c r="J24" s="20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ht="15.75" customHeight="1">
      <c r="A25" s="24" t="s">
        <v>127</v>
      </c>
      <c r="B25" s="38" t="s">
        <v>128</v>
      </c>
      <c r="C25" s="38" t="s">
        <v>46</v>
      </c>
      <c r="D25" s="60" t="s">
        <v>256</v>
      </c>
      <c r="E25" s="39" t="s">
        <v>74</v>
      </c>
      <c r="F25" s="26">
        <v>81.66</v>
      </c>
      <c r="G25" s="40" t="s">
        <v>154</v>
      </c>
      <c r="H25" s="26">
        <f>H23-F25</f>
        <v>3225.32</v>
      </c>
      <c r="I25" s="176">
        <f>F25*8</f>
        <v>653.28</v>
      </c>
      <c r="J25" s="55">
        <f>SUM(F25:F27)</f>
        <v>285.14</v>
      </c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</row>
    <row r="26" ht="15.75" customHeight="1">
      <c r="A26" s="24" t="s">
        <v>120</v>
      </c>
      <c r="B26" s="45"/>
      <c r="C26" s="45"/>
      <c r="D26" s="60" t="s">
        <v>253</v>
      </c>
      <c r="E26" s="45"/>
      <c r="F26" s="26">
        <v>57.99</v>
      </c>
      <c r="G26" s="45"/>
      <c r="H26" s="26">
        <f t="shared" ref="H26:H27" si="6">H25-F26</f>
        <v>3167.33</v>
      </c>
      <c r="I26" s="176">
        <f>F26*5</f>
        <v>289.95</v>
      </c>
      <c r="J26" s="46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</row>
    <row r="27" ht="15.75" customHeight="1">
      <c r="A27" s="197" t="s">
        <v>131</v>
      </c>
      <c r="B27" s="52"/>
      <c r="C27" s="52"/>
      <c r="D27" s="198" t="s">
        <v>64</v>
      </c>
      <c r="E27" s="52"/>
      <c r="F27" s="199">
        <v>145.49</v>
      </c>
      <c r="G27" s="52"/>
      <c r="H27" s="200">
        <f t="shared" si="6"/>
        <v>3021.84</v>
      </c>
      <c r="I27" s="201">
        <f>F27*10</f>
        <v>1454.9</v>
      </c>
      <c r="J27" s="53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</row>
    <row r="28" ht="15.75" customHeight="1">
      <c r="A28" s="54" t="s">
        <v>132</v>
      </c>
      <c r="B28" s="19"/>
      <c r="C28" s="19"/>
      <c r="D28" s="19"/>
      <c r="E28" s="19"/>
      <c r="F28" s="19"/>
      <c r="G28" s="19"/>
      <c r="H28" s="19"/>
      <c r="I28" s="19"/>
      <c r="J28" s="20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</row>
    <row r="29" ht="15.75" customHeight="1">
      <c r="A29" s="59" t="s">
        <v>213</v>
      </c>
      <c r="B29" s="38" t="s">
        <v>133</v>
      </c>
      <c r="C29" s="38" t="s">
        <v>46</v>
      </c>
      <c r="D29" s="60" t="s">
        <v>64</v>
      </c>
      <c r="E29" s="39" t="s">
        <v>134</v>
      </c>
      <c r="F29" s="57">
        <v>68.42</v>
      </c>
      <c r="G29" s="40" t="s">
        <v>154</v>
      </c>
      <c r="H29" s="26">
        <f>H27-F29</f>
        <v>2953.42</v>
      </c>
      <c r="I29" s="176">
        <f t="shared" ref="I29:I32" si="7">F29*10</f>
        <v>684.2</v>
      </c>
      <c r="J29" s="58">
        <f>SUM(F29:F31)</f>
        <v>136.22</v>
      </c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</row>
    <row r="30" ht="15.75" customHeight="1">
      <c r="A30" s="59" t="s">
        <v>214</v>
      </c>
      <c r="B30" s="45"/>
      <c r="C30" s="45"/>
      <c r="D30" s="60" t="s">
        <v>64</v>
      </c>
      <c r="E30" s="45"/>
      <c r="F30" s="57">
        <v>40.68</v>
      </c>
      <c r="G30" s="45"/>
      <c r="H30" s="26">
        <f t="shared" ref="H30:H32" si="8">H29-F30</f>
        <v>2912.74</v>
      </c>
      <c r="I30" s="176">
        <f t="shared" si="7"/>
        <v>406.8</v>
      </c>
      <c r="J30" s="46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</row>
    <row r="31" ht="15.75" customHeight="1">
      <c r="A31" s="59" t="s">
        <v>215</v>
      </c>
      <c r="B31" s="45"/>
      <c r="C31" s="45"/>
      <c r="D31" s="60" t="s">
        <v>64</v>
      </c>
      <c r="E31" s="45"/>
      <c r="F31" s="57">
        <v>27.12</v>
      </c>
      <c r="G31" s="45"/>
      <c r="H31" s="26">
        <f t="shared" si="8"/>
        <v>2885.62</v>
      </c>
      <c r="I31" s="176">
        <f t="shared" si="7"/>
        <v>271.2</v>
      </c>
      <c r="J31" s="46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 ht="15.75" customHeight="1">
      <c r="A32" s="59" t="s">
        <v>225</v>
      </c>
      <c r="B32" s="52"/>
      <c r="C32" s="52"/>
      <c r="D32" s="60" t="s">
        <v>66</v>
      </c>
      <c r="E32" s="52"/>
      <c r="F32" s="57">
        <v>57.86</v>
      </c>
      <c r="G32" s="52"/>
      <c r="H32" s="26">
        <f t="shared" si="8"/>
        <v>2827.76</v>
      </c>
      <c r="I32" s="176">
        <f t="shared" si="7"/>
        <v>578.6</v>
      </c>
      <c r="J32" s="53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 ht="15.75" customHeight="1">
      <c r="A33" s="54" t="s">
        <v>138</v>
      </c>
      <c r="B33" s="19"/>
      <c r="C33" s="19"/>
      <c r="D33" s="19"/>
      <c r="E33" s="19"/>
      <c r="F33" s="19"/>
      <c r="G33" s="19"/>
      <c r="H33" s="19"/>
      <c r="I33" s="19"/>
      <c r="J33" s="20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 ht="15.75" customHeight="1">
      <c r="A34" s="24" t="s">
        <v>139</v>
      </c>
      <c r="B34" s="25" t="s">
        <v>140</v>
      </c>
      <c r="C34" s="25" t="s">
        <v>35</v>
      </c>
      <c r="D34" s="25" t="s">
        <v>22</v>
      </c>
      <c r="E34" s="60" t="s">
        <v>74</v>
      </c>
      <c r="F34" s="26">
        <v>856.34</v>
      </c>
      <c r="G34" s="27" t="s">
        <v>154</v>
      </c>
      <c r="H34" s="26">
        <f>H32-F34</f>
        <v>1971.42</v>
      </c>
      <c r="I34" s="169"/>
      <c r="J34" s="29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 ht="15.75" customHeight="1">
      <c r="A35" s="59" t="s">
        <v>141</v>
      </c>
      <c r="B35" s="60" t="s">
        <v>22</v>
      </c>
      <c r="C35" s="62"/>
      <c r="D35" s="60"/>
      <c r="E35" s="60" t="s">
        <v>22</v>
      </c>
      <c r="F35" s="28">
        <v>90.0</v>
      </c>
      <c r="G35" s="27" t="s">
        <v>154</v>
      </c>
      <c r="H35" s="28">
        <f t="shared" ref="H35:H40" si="9">H34-F35</f>
        <v>1881.42</v>
      </c>
      <c r="I35" s="169"/>
      <c r="J35" s="29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ht="15.75" customHeight="1">
      <c r="A36" s="59" t="s">
        <v>152</v>
      </c>
      <c r="B36" s="60" t="s">
        <v>22</v>
      </c>
      <c r="C36" s="25" t="s">
        <v>148</v>
      </c>
      <c r="D36" s="60" t="s">
        <v>22</v>
      </c>
      <c r="E36" s="60" t="s">
        <v>22</v>
      </c>
      <c r="F36" s="57">
        <v>150.0</v>
      </c>
      <c r="G36" s="27" t="s">
        <v>154</v>
      </c>
      <c r="H36" s="28">
        <f t="shared" si="9"/>
        <v>1731.42</v>
      </c>
      <c r="I36" s="169"/>
      <c r="J36" s="29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 ht="15.75" customHeight="1">
      <c r="A37" s="24" t="s">
        <v>142</v>
      </c>
      <c r="B37" s="25" t="s">
        <v>143</v>
      </c>
      <c r="C37" s="62" t="s">
        <v>144</v>
      </c>
      <c r="D37" s="60" t="s">
        <v>22</v>
      </c>
      <c r="E37" s="60" t="s">
        <v>145</v>
      </c>
      <c r="F37" s="26">
        <v>40.9</v>
      </c>
      <c r="G37" s="27" t="s">
        <v>154</v>
      </c>
      <c r="H37" s="26">
        <f t="shared" si="9"/>
        <v>1690.52</v>
      </c>
      <c r="I37" s="169"/>
      <c r="J37" s="29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 ht="15.75" customHeight="1">
      <c r="A38" s="24" t="s">
        <v>146</v>
      </c>
      <c r="B38" s="25" t="s">
        <v>147</v>
      </c>
      <c r="C38" s="25" t="s">
        <v>148</v>
      </c>
      <c r="D38" s="60" t="s">
        <v>22</v>
      </c>
      <c r="E38" s="27" t="s">
        <v>74</v>
      </c>
      <c r="F38" s="26">
        <v>100.0</v>
      </c>
      <c r="G38" s="27" t="s">
        <v>154</v>
      </c>
      <c r="H38" s="26">
        <f t="shared" si="9"/>
        <v>1590.52</v>
      </c>
      <c r="I38" s="169"/>
      <c r="J38" s="29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</row>
    <row r="39" ht="15.75" customHeight="1">
      <c r="A39" s="24" t="s">
        <v>189</v>
      </c>
      <c r="B39" s="25" t="s">
        <v>109</v>
      </c>
      <c r="C39" s="25" t="s">
        <v>148</v>
      </c>
      <c r="D39" s="60" t="s">
        <v>22</v>
      </c>
      <c r="E39" s="60" t="s">
        <v>22</v>
      </c>
      <c r="F39" s="56">
        <f>14*22</f>
        <v>308</v>
      </c>
      <c r="G39" s="27" t="s">
        <v>154</v>
      </c>
      <c r="H39" s="26">
        <f t="shared" si="9"/>
        <v>1282.52</v>
      </c>
      <c r="I39" s="169"/>
      <c r="J39" s="29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</row>
    <row r="40" ht="15.75" customHeight="1">
      <c r="A40" s="24" t="s">
        <v>150</v>
      </c>
      <c r="B40" s="25" t="s">
        <v>151</v>
      </c>
      <c r="C40" s="25" t="s">
        <v>148</v>
      </c>
      <c r="D40" s="60" t="s">
        <v>22</v>
      </c>
      <c r="E40" s="60" t="s">
        <v>22</v>
      </c>
      <c r="F40" s="56">
        <f>80*2</f>
        <v>160</v>
      </c>
      <c r="G40" s="27" t="s">
        <v>154</v>
      </c>
      <c r="H40" s="26">
        <f t="shared" si="9"/>
        <v>1122.52</v>
      </c>
      <c r="I40" s="169"/>
      <c r="J40" s="29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  <row r="41" ht="15.75" customHeight="1">
      <c r="A41" s="54" t="s">
        <v>155</v>
      </c>
      <c r="B41" s="19"/>
      <c r="C41" s="19"/>
      <c r="D41" s="19"/>
      <c r="E41" s="19"/>
      <c r="F41" s="19"/>
      <c r="G41" s="19"/>
      <c r="H41" s="19"/>
      <c r="I41" s="19"/>
      <c r="J41" s="20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</row>
    <row r="42" ht="15.75" customHeight="1">
      <c r="A42" s="59" t="s">
        <v>156</v>
      </c>
      <c r="B42" s="25" t="s">
        <v>157</v>
      </c>
      <c r="C42" s="25" t="s">
        <v>148</v>
      </c>
      <c r="D42" s="60" t="s">
        <v>22</v>
      </c>
      <c r="E42" s="60" t="s">
        <v>22</v>
      </c>
      <c r="F42" s="28">
        <v>130.0</v>
      </c>
      <c r="G42" s="27" t="s">
        <v>154</v>
      </c>
      <c r="H42" s="26">
        <f>H40-F42</f>
        <v>992.52</v>
      </c>
      <c r="I42" s="169"/>
      <c r="J42" s="29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</row>
    <row r="43" ht="15.75" customHeight="1">
      <c r="A43" s="59" t="s">
        <v>158</v>
      </c>
      <c r="B43" s="25" t="s">
        <v>109</v>
      </c>
      <c r="C43" s="25" t="s">
        <v>148</v>
      </c>
      <c r="D43" s="60" t="s">
        <v>22</v>
      </c>
      <c r="E43" s="60" t="s">
        <v>22</v>
      </c>
      <c r="F43" s="28">
        <f>8*60</f>
        <v>480</v>
      </c>
      <c r="G43" s="27" t="s">
        <v>154</v>
      </c>
      <c r="H43" s="26">
        <f t="shared" ref="H43:H45" si="10">H42-F43</f>
        <v>512.52</v>
      </c>
      <c r="I43" s="169"/>
      <c r="J43" s="29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</row>
    <row r="44" ht="15.75" customHeight="1">
      <c r="A44" s="59" t="s">
        <v>159</v>
      </c>
      <c r="B44" s="60" t="s">
        <v>160</v>
      </c>
      <c r="C44" s="25" t="s">
        <v>148</v>
      </c>
      <c r="D44" s="60" t="s">
        <v>22</v>
      </c>
      <c r="E44" s="60" t="s">
        <v>22</v>
      </c>
      <c r="F44" s="28">
        <v>70.0</v>
      </c>
      <c r="G44" s="27" t="s">
        <v>154</v>
      </c>
      <c r="H44" s="26">
        <f t="shared" si="10"/>
        <v>442.52</v>
      </c>
      <c r="I44" s="169"/>
      <c r="J44" s="29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</row>
    <row r="45" ht="15.75" customHeight="1">
      <c r="A45" s="59" t="s">
        <v>161</v>
      </c>
      <c r="B45" s="60" t="s">
        <v>22</v>
      </c>
      <c r="C45" s="25" t="s">
        <v>148</v>
      </c>
      <c r="D45" s="60" t="s">
        <v>22</v>
      </c>
      <c r="E45" s="60" t="s">
        <v>22</v>
      </c>
      <c r="F45" s="28">
        <v>0.0</v>
      </c>
      <c r="G45" s="27" t="s">
        <v>154</v>
      </c>
      <c r="H45" s="28">
        <f t="shared" si="10"/>
        <v>442.52</v>
      </c>
      <c r="I45" s="169"/>
      <c r="J45" s="29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</row>
    <row r="46" ht="15.75" customHeight="1">
      <c r="A46" s="63" t="s">
        <v>162</v>
      </c>
      <c r="B46" s="64"/>
      <c r="C46" s="64"/>
      <c r="D46" s="64"/>
      <c r="E46" s="65"/>
      <c r="F46" s="186">
        <f>H44</f>
        <v>442.52</v>
      </c>
      <c r="G46" s="23"/>
      <c r="H46" s="23"/>
      <c r="I46" s="187" t="str">
        <f>I11+#REF!+#REF!+I12+I14+I15+I19+I20+I21+I22+I23+I25+I26+I27+I29+I30+I31+I32</f>
        <v>#REF!</v>
      </c>
      <c r="J46" s="23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</row>
    <row r="47" ht="15.75" customHeight="1">
      <c r="A47" s="12"/>
      <c r="B47" s="12"/>
      <c r="C47" s="12"/>
      <c r="D47" s="12"/>
      <c r="E47" s="12"/>
      <c r="F47" s="12"/>
      <c r="G47" s="12"/>
      <c r="H47" s="51"/>
      <c r="I47" s="12"/>
      <c r="J47" s="12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</row>
    <row r="48" ht="15.75" customHeight="1">
      <c r="A48" s="67" t="s">
        <v>163</v>
      </c>
      <c r="B48" s="68"/>
      <c r="C48" s="69">
        <f>F46</f>
        <v>442.52</v>
      </c>
      <c r="D48" s="70" t="s">
        <v>164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</row>
    <row r="49" ht="15.75" customHeight="1">
      <c r="A49" s="72" t="s">
        <v>165</v>
      </c>
      <c r="B49" s="19"/>
      <c r="C49" s="19"/>
      <c r="D49" s="20"/>
      <c r="E49" s="11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</row>
    <row r="50" ht="15.75" customHeight="1">
      <c r="A50" s="30" t="s">
        <v>167</v>
      </c>
      <c r="B50" s="73">
        <v>0.0</v>
      </c>
      <c r="C50" s="73">
        <f>C48-B50</f>
        <v>442.52</v>
      </c>
      <c r="D50" s="74" t="b">
        <v>0</v>
      </c>
      <c r="E50" s="11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</row>
    <row r="51" ht="15.75" customHeight="1">
      <c r="A51" s="30" t="s">
        <v>169</v>
      </c>
      <c r="B51" s="73">
        <v>0.0</v>
      </c>
      <c r="C51" s="73">
        <f>C50-B51</f>
        <v>442.52</v>
      </c>
      <c r="D51" s="74" t="b">
        <v>0</v>
      </c>
      <c r="E51" s="11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 ht="15.75" customHeight="1">
      <c r="A52" s="76" t="s">
        <v>171</v>
      </c>
      <c r="B52" s="19"/>
      <c r="C52" s="19"/>
      <c r="D52" s="20"/>
      <c r="E52" s="11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</row>
    <row r="53" ht="15.75" customHeight="1">
      <c r="A53" s="30" t="s">
        <v>173</v>
      </c>
      <c r="B53" s="73">
        <v>0.0</v>
      </c>
      <c r="C53" s="73">
        <f>C52-B53</f>
        <v>0</v>
      </c>
      <c r="D53" s="74" t="b">
        <v>0</v>
      </c>
      <c r="E53" s="11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</row>
    <row r="54" ht="15.75" customHeight="1">
      <c r="A54" s="30" t="s">
        <v>174</v>
      </c>
      <c r="B54" s="73">
        <v>0.0</v>
      </c>
      <c r="C54" s="73">
        <f>C52-B54</f>
        <v>0</v>
      </c>
      <c r="D54" s="74" t="b">
        <v>0</v>
      </c>
      <c r="E54" s="11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</row>
    <row r="55" ht="15.75" customHeight="1">
      <c r="A55" s="76" t="s">
        <v>175</v>
      </c>
      <c r="B55" s="19"/>
      <c r="C55" s="19"/>
      <c r="D55" s="20"/>
      <c r="E55" s="11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</row>
    <row r="56" ht="15.75" customHeight="1">
      <c r="A56" s="30" t="s">
        <v>176</v>
      </c>
      <c r="B56" s="73">
        <v>0.0</v>
      </c>
      <c r="C56" s="73">
        <f>C54-B56</f>
        <v>0</v>
      </c>
      <c r="D56" s="74" t="b">
        <v>0</v>
      </c>
      <c r="E56" s="11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</row>
    <row r="57" ht="15.75" customHeight="1">
      <c r="A57" s="30" t="s">
        <v>177</v>
      </c>
      <c r="B57" s="73">
        <v>0.0</v>
      </c>
      <c r="C57" s="73">
        <f>C56-B57</f>
        <v>0</v>
      </c>
      <c r="D57" s="74" t="b">
        <v>0</v>
      </c>
      <c r="E57" s="11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</row>
    <row r="58" ht="15.75" customHeight="1">
      <c r="A58" s="76" t="s">
        <v>178</v>
      </c>
      <c r="B58" s="19"/>
      <c r="C58" s="19"/>
      <c r="D58" s="20"/>
      <c r="E58" s="11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</row>
    <row r="59" ht="15.75" customHeight="1">
      <c r="A59" s="30" t="s">
        <v>179</v>
      </c>
      <c r="B59" s="73">
        <v>0.0</v>
      </c>
      <c r="C59" s="73">
        <f>C58-B59</f>
        <v>0</v>
      </c>
      <c r="D59" s="74" t="b">
        <v>0</v>
      </c>
      <c r="E59" s="11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 ht="15.75" customHeight="1">
      <c r="A60" s="30" t="s">
        <v>180</v>
      </c>
      <c r="B60" s="73">
        <v>0.0</v>
      </c>
      <c r="C60" s="73">
        <f>C58-B60</f>
        <v>0</v>
      </c>
      <c r="D60" s="74" t="b">
        <v>0</v>
      </c>
      <c r="E60" s="11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ht="15.75" customHeight="1">
      <c r="A61" s="30" t="s">
        <v>181</v>
      </c>
      <c r="B61" s="73">
        <v>0.0</v>
      </c>
      <c r="C61" s="73">
        <f>C60-B61</f>
        <v>0</v>
      </c>
      <c r="D61" s="74" t="b">
        <v>0</v>
      </c>
      <c r="E61" s="11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ht="15.75" customHeight="1">
      <c r="A62" s="30" t="s">
        <v>182</v>
      </c>
      <c r="B62" s="73">
        <v>0.0</v>
      </c>
      <c r="C62" s="73">
        <f>C60-B62</f>
        <v>0</v>
      </c>
      <c r="D62" s="74" t="b">
        <v>0</v>
      </c>
      <c r="E62" s="11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</row>
    <row r="63" ht="15.75" customHeight="1">
      <c r="A63" s="30" t="s">
        <v>183</v>
      </c>
      <c r="B63" s="73">
        <v>0.0</v>
      </c>
      <c r="C63" s="73">
        <f>C62-B63</f>
        <v>0</v>
      </c>
      <c r="D63" s="74" t="b">
        <v>0</v>
      </c>
      <c r="E63" s="11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</row>
    <row r="64" ht="15.75" customHeight="1">
      <c r="A64" s="30" t="s">
        <v>184</v>
      </c>
      <c r="B64" s="73">
        <v>0.0</v>
      </c>
      <c r="C64" s="73">
        <f>C62-B64</f>
        <v>0</v>
      </c>
      <c r="D64" s="74" t="b">
        <v>0</v>
      </c>
      <c r="E64" s="11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</row>
    <row r="65" ht="15.75" customHeight="1">
      <c r="A65" s="30" t="s">
        <v>185</v>
      </c>
      <c r="B65" s="73">
        <v>0.0</v>
      </c>
      <c r="C65" s="73">
        <f>C64-B65</f>
        <v>0</v>
      </c>
      <c r="D65" s="74" t="b">
        <v>0</v>
      </c>
      <c r="E65" s="11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</row>
    <row r="66" ht="15.75" customHeight="1">
      <c r="A66" s="78" t="s">
        <v>186</v>
      </c>
      <c r="B66" s="79">
        <v>0.0</v>
      </c>
      <c r="C66" s="79">
        <f>C64-B66</f>
        <v>0</v>
      </c>
      <c r="D66" s="80" t="b">
        <v>0</v>
      </c>
      <c r="E66" s="11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</row>
    <row r="67" ht="15.75" customHeight="1">
      <c r="A67" s="81"/>
      <c r="B67" s="47"/>
      <c r="C67" s="47"/>
      <c r="D67" s="47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</row>
    <row r="68" ht="15.75" customHeight="1">
      <c r="A68" s="8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</row>
    <row r="69" ht="15.75" customHeight="1">
      <c r="A69" s="8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</row>
    <row r="70" ht="15.75" customHeight="1">
      <c r="A70" s="8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 ht="15.75" customHeight="1">
      <c r="A71" s="8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</row>
    <row r="72" ht="15.75" customHeight="1">
      <c r="A72" s="8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</row>
    <row r="73" ht="15.75" customHeight="1">
      <c r="A73" s="8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</row>
    <row r="74" ht="15.75" customHeight="1">
      <c r="A74" s="8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</row>
    <row r="75" ht="15.75" customHeight="1">
      <c r="A75" s="8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</row>
    <row r="76" ht="15.75" customHeight="1">
      <c r="A76" s="8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</row>
    <row r="77" ht="15.75" customHeight="1">
      <c r="A77" s="8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</row>
    <row r="78" ht="15.75" customHeight="1">
      <c r="A78" s="8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</row>
    <row r="79" ht="15.75" customHeight="1">
      <c r="A79" s="8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</row>
    <row r="80" ht="15.75" customHeight="1">
      <c r="A80" s="8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ht="15.75" customHeight="1">
      <c r="A81" s="8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</row>
    <row r="82" ht="15.75" customHeight="1">
      <c r="A82" s="8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</row>
    <row r="83" ht="15.75" customHeight="1">
      <c r="A83" s="8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</row>
    <row r="84" ht="15.75" customHeight="1">
      <c r="A84" s="8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</row>
    <row r="85" ht="15.75" customHeight="1">
      <c r="A85" s="8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</row>
    <row r="86" ht="15.75" customHeight="1">
      <c r="A86" s="8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</row>
    <row r="87" ht="15.75" customHeight="1">
      <c r="A87" s="8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</row>
    <row r="88" ht="15.75" customHeight="1">
      <c r="A88" s="8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</sheetData>
  <mergeCells count="42">
    <mergeCell ref="G11:G12"/>
    <mergeCell ref="J11:J12"/>
    <mergeCell ref="J14:J15"/>
    <mergeCell ref="A1:E1"/>
    <mergeCell ref="L1:Q1"/>
    <mergeCell ref="A3:J3"/>
    <mergeCell ref="A10:J10"/>
    <mergeCell ref="C11:C12"/>
    <mergeCell ref="E11:E12"/>
    <mergeCell ref="A13:J13"/>
    <mergeCell ref="B11:B12"/>
    <mergeCell ref="B14:B15"/>
    <mergeCell ref="C14:C15"/>
    <mergeCell ref="E14:E15"/>
    <mergeCell ref="G14:G15"/>
    <mergeCell ref="A16:J16"/>
    <mergeCell ref="A18:J18"/>
    <mergeCell ref="E19:E23"/>
    <mergeCell ref="E25:E27"/>
    <mergeCell ref="E29:E32"/>
    <mergeCell ref="G29:G32"/>
    <mergeCell ref="J19:J23"/>
    <mergeCell ref="J25:J27"/>
    <mergeCell ref="J29:J32"/>
    <mergeCell ref="B25:B27"/>
    <mergeCell ref="B29:B32"/>
    <mergeCell ref="C29:C32"/>
    <mergeCell ref="A33:J33"/>
    <mergeCell ref="A41:J41"/>
    <mergeCell ref="A46:E46"/>
    <mergeCell ref="A48:B48"/>
    <mergeCell ref="A49:D49"/>
    <mergeCell ref="A52:D52"/>
    <mergeCell ref="A55:D55"/>
    <mergeCell ref="A58:D58"/>
    <mergeCell ref="B19:B23"/>
    <mergeCell ref="C19:C23"/>
    <mergeCell ref="G19:G23"/>
    <mergeCell ref="A24:J24"/>
    <mergeCell ref="C25:C27"/>
    <mergeCell ref="G25:G27"/>
    <mergeCell ref="A28:J28"/>
  </mergeCells>
  <conditionalFormatting sqref="Q4:Q9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G4:G9 G11 G14 G17 G25 G29 G34:G40 G42:G45">
      <formula1>"Pago,Pendente"</formula1>
    </dataValidation>
    <dataValidation type="list" allowBlank="1" showErrorMessage="1" sqref="Q4:Q8">
      <formula1>"Recebido,Pendente"</formula1>
    </dataValidation>
  </dataValidations>
  <drawing r:id="rId1"/>
</worksheet>
</file>